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1_매출손익_대시보드" sheetId="1" r:id="rId1"/>
    <sheet name="2_일일매출_입력" sheetId="2" r:id="rId2"/>
    <sheet name="3_채널별_비용설정" sheetId="3" r:id="rId3"/>
    <sheet name="4_판매채널별_손익분석" sheetId="4" r:id="rId4"/>
    <sheet name="5_목표매출_및_공통비용" sheetId="5" r:id="rId5"/>
    <sheet name="6_사용설명서_및_기준관리" sheetId="6" r:id="rId6"/>
  </sheets>
  <calcPr calcId="191029" fullCalcOnLoad="1"/>
</workbook>
</file>

<file path=xl/styles.xml><?xml version="1.0" encoding="utf-8"?>
<styleSheet xmlns="http://schemas.openxmlformats.org/spreadsheetml/2006/main">
  <numFmts count="4">
    <numFmt numFmtId="164" formatCode="#,##0"/>
    <numFmt numFmtId="165" formatCode="0.0%"/>
    <numFmt numFmtId="166" formatCode="0.00%"/>
    <numFmt numFmtId="167" formatCode="yyyy-mm-dd (aaa)"/>
  </numFmts>
  <fonts count="9">
    <font>
      <sz val="10"/>
      <color rgb="FF222222"/>
      <name val="맑은 고딕"/>
    </font>
    <font>
      <b/>
      <sz val="15"/>
      <color rgb="FF111111"/>
      <name val="맑은 고딕"/>
    </font>
    <font>
      <b/>
      <sz val="11"/>
      <color rgb="FF222222"/>
      <name val="맑은 고딕"/>
    </font>
    <font>
      <b/>
      <sz val="10"/>
      <color rgb="FFFFFFFF"/>
      <name val="맑은 고딕"/>
    </font>
    <font>
      <b/>
      <sz val="10"/>
      <color rgb="FF111111"/>
      <name val="맑은 고딕"/>
    </font>
    <font>
      <b/>
      <sz val="9"/>
      <color rgb="FF666666"/>
      <name val="맑은 고딕"/>
    </font>
    <font>
      <b/>
      <sz val="14"/>
      <color rgb="FF111111"/>
      <name val="맑은 고딕"/>
    </font>
    <font>
      <sz val="9.5"/>
      <color rgb="FF333333"/>
      <name val="맑은 고딕"/>
    </font>
    <font>
      <b/>
      <sz val="10"/>
      <color rgb="FF1D4ED8"/>
      <name val="맑은 고딕"/>
    </font>
  </fonts>
  <fills count="12">
    <fill>
      <patternFill patternType="none"/>
    </fill>
    <fill>
      <patternFill patternType="gray125"/>
    </fill>
    <!-- 2: Charcoal Dark Header (#4A4E54 from reference image) -->
    <fill>
      <patternFill patternType="solid">
        <fgColor rgb="FF4A4E54"/>
      </patternFill>
    </fill>
    <!-- 3: Deep Charcoal Subheader (#383B40 from reference image) -->
    <fill>
      <patternFill patternType="solid">
        <fgColor rgb="FF383B40"/>
      </patternFill>
    </fill>
    <!-- 4: Soft Yellow Input (#FFFBEB) -->
    <fill>
      <patternFill patternType="solid">
        <fgColor rgb="FFFFFBEB"/>
      </patternFill>
    </fill>
    <!-- 5: Clean Light Gray Calc (#F8F9FA) -->
    <fill>
      <patternFill patternType="solid">
        <fgColor rgb="FFF8F9FA"/>
      </patternFill>
    </fill>
    <!-- 6: Soft Blue Point Calc (#EEF4FF) -->
    <fill>
      <patternFill patternType="solid">
        <fgColor rgb="FFEEF4FF"/>
      </patternFill>
    </fill>
    <!-- 7: Summary Row Gray (#F1F3F5) -->
    <fill>
      <patternFill patternType="solid">
        <fgColor rgb="FFF1F3F5"/>
      </patternFill>
    </fill>
    <!-- 8: Card Label Fill (#F8F9FA) -->
    <fill>
      <patternFill patternType="solid">
        <fgColor rgb="FFF8F9FA"/>
      </patternFill>
    </fill>
    <!-- 9: Pure White (#FFFFFF) -->
    <fill>
      <patternFill patternType="solid">
        <fgColor rgb="FFFFFFFF"/>
      </patternFill>
    </fill>
    <!-- 10: Guide Box Soft Gray/Blue (#F4F6F9) -->
    <fill>
      <patternFill patternType="solid">
        <fgColor rgb="FFF4F6F9"/>
      </patternFill>
    </fill>
    <!-- 11: Status OK Soft Green (#ECFDF5) -->
    <fill>
      <patternFill patternType="solid">
        <fgColor rgb="FFECFDF5"/>
      </patternFill>
    </fill>
  </fills>
  <borders count="3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D1D5DB"/>
      </left>
      <right style="thin">
        <color rgb="FFD1D5DB"/>
      </right>
      <top style="medium">
        <color rgb="FF383B40"/>
      </top>
      <bottom style="double">
        <color rgb="FF383B4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167" fontId="0" fillId="4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right" vertical="center"/>
    </xf>
    <xf numFmtId="166" fontId="0" fillId="4" borderId="1" xfId="0" applyNumberFormat="1" applyFill="1" applyBorder="1" applyAlignment="1">
      <alignment horizontal="right" vertical="center"/>
    </xf>
    <xf numFmtId="0" fontId="0" fillId="5" borderId="1" xfId="0" applyFill="1" applyBorder="1" applyAlignment="1">
      <alignment horizontal="center" vertical="center"/>
    </xf>
    <xf numFmtId="167" fontId="0" fillId="5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right" vertical="center"/>
    </xf>
    <xf numFmtId="164" fontId="4" fillId="6" borderId="1" xfId="0" applyNumberFormat="1" applyFont="1" applyFill="1" applyBorder="1" applyAlignment="1">
      <alignment horizontal="right" vertical="center"/>
    </xf>
    <xf numFmtId="165" fontId="0" fillId="5" borderId="1" xfId="0" applyNumberFormat="1" applyFill="1" applyBorder="1" applyAlignment="1">
      <alignment horizontal="right" vertical="center"/>
    </xf>
    <xf numFmtId="166" fontId="0" fillId="5" borderId="1" xfId="0" applyNumberFormat="1" applyFill="1" applyBorder="1" applyAlignment="1">
      <alignment horizontal="right" vertical="center"/>
    </xf>
    <xf numFmtId="0" fontId="4" fillId="7" borderId="2" xfId="0" applyFont="1" applyFill="1" applyBorder="1" applyAlignment="1">
      <alignment horizontal="center" vertical="center"/>
    </xf>
    <xf numFmtId="164" fontId="4" fillId="7" borderId="2" xfId="0" applyNumberFormat="1" applyFont="1" applyFill="1" applyBorder="1" applyAlignment="1">
      <alignment horizontal="right" vertical="center"/>
    </xf>
    <xf numFmtId="165" fontId="4" fillId="7" borderId="2" xfId="0" applyNumberFormat="1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center" vertical="center"/>
    </xf>
    <xf numFmtId="164" fontId="6" fillId="9" borderId="1" xfId="0" applyNumberFormat="1" applyFont="1" applyFill="1" applyBorder="1" applyAlignment="1">
      <alignment horizontal="center" vertical="center"/>
    </xf>
    <xf numFmtId="165" fontId="6" fillId="9" borderId="1" xfId="0" applyNumberFormat="1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left" vertical="center" wrapText="1"/>
    </xf>
    <xf numFmtId="0" fontId="0" fillId="9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left" vertical="center"/>
    </xf>
    <xf numFmtId="164" fontId="0" fillId="9" borderId="1" xfId="0" applyNumberFormat="1" applyFill="1" applyBorder="1" applyAlignment="1">
      <alignment horizontal="right" vertical="center"/>
    </xf>
    <xf numFmtId="165" fontId="0" fillId="9" borderId="1" xfId="0" applyNumberFormat="1" applyFill="1" applyBorder="1" applyAlignment="1">
      <alignment horizontal="right" vertical="center"/>
    </xf>
    <xf numFmtId="0" fontId="8" fillId="11" borderId="1" xfId="0" applyFont="1" applyFill="1" applyBorder="1" applyAlignment="1">
      <alignment horizontal="center" vertical="center"/>
    </xf>
  </cellXfs>
  <dxfs count="2">
    <dxf>
      <font>
        <b/>
        <color rgb="FFDC2626"/>
      </font>
      <fill>
        <patternFill patternType="solid">
          <fgColor rgb="FFFEE2E2"/>
        </patternFill>
      </fill>
    </dxf>
    <dxf>
      <font>
        <b/>
        <color rgb="FFB91C1C"/>
      </font>
      <fill>
        <patternFill patternType="solid">
          <fgColor rgb="FFFECACA"/>
        </patternFill>
      </fill>
    </dxf>
  </d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styles" Target="style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1"/>
  <c:chart>
    <c:title>
      <c:tx>
        <c:rich>
          <a:bodyPr/>
          <a:lstStyle/>
          <a:p>
            <a:pPr>
              <a:defRPr sz="1100" b="1">
                <a:solidFill>
                  <a:srgbClr val="1E293B"/>
                </a:solidFill>
              </a:defRPr>
            </a:pPr>
            <a:r>
              <a:rPr lang="ko-KR" sz="1100" b="1"/>
              <a:t>전체 매출성과 (목표매출 vs 총 매출액 vs 총 순이익)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'1_매출손익_대시보드'!$J$41</c:f>
              <c:strCache>
                <c:ptCount val="1"/>
                <c:pt idx="0">
                  <c:v>선택기간 실적 (원)</c:v>
                </c:pt>
              </c:strCache>
            </c:strRef>
          </c:tx>
          <c:spPr>
            <a:solidFill>
              <a:srgbClr val="2B4CBE"/>
            </a:solidFill>
          </c:spPr>
          <c:invertIfNegative val="0"/>
          <c:cat>
            <c:strRef>
              <c:f>'1_매출손익_대시보드'!$K$40:$N$40</c:f>
              <c:strCache>
                <c:ptCount val="4"/>
                <c:pt idx="0">
                  <c:v>목표매출</c:v>
                </c:pt>
                <c:pt idx="1">
                  <c:v>총 매출액</c:v>
                </c:pt>
                <c:pt idx="2">
                  <c:v>총 순이익</c:v>
                </c:pt>
                <c:pt idx="3">
                  <c:v>최종순이익(공통비후)</c:v>
                </c:pt>
              </c:strCache>
            </c:strRef>
          </c:cat>
          <c:val>
            <c:numRef>
              <c:f>'1_매출손익_대시보드'!$K$41:$N$41</c:f>
              <c:numCache>
                <c:formatCode>#,##0</c:formatCode>
                <c:ptCount val="4"/>
                <c:pt idx="0">
                  <c:v>12000000</c:v>
                </c:pt>
                <c:pt idx="1">
                  <c:v>14505000</c:v>
                </c:pt>
                <c:pt idx="2">
                  <c:v>12276450</c:v>
                </c:pt>
                <c:pt idx="3">
                  <c:v>11476450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15"/>
        <c:axId val="101"/>
        <c:axId val="102"/>
      </c:barChart>
      <c:catAx>
        <c:axId val="1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2"/>
        <c:crosses val="autoZero"/>
        <c:auto val="1"/>
        <c:lblAlgn val="ctr"/>
        <c:lblOffset val="100"/>
      </c:catAx>
      <c:valAx>
        <c:axId val="102"/>
        <c:scaling>
          <c:orientation val="minMax"/>
        </c:scaling>
        <c:delete val="0"/>
        <c:axPos val="l"/>
        <c:majorGridlines>
          <c:spPr>
            <a:ln w="6350">
              <a:solidFill>
                <a:srgbClr val="E2E8F0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crossAx val="101"/>
        <c:crosses val="autoZero"/>
        <c:crossBetween val="between"/>
      </c:valAx>
    </c:plotArea>
    <c:legend>
      <c:legendPos val="b"/>
      <c:overlay val="0"/>
    </c:legend>
    <c:plotVisOnly val="1"/>
  </c:chart>
  <c:spPr>
    <a:solidFill>
      <a:srgbClr val="FFFFFF"/>
    </a:solidFill>
    <a:ln w="9525">
      <a:solidFill>
        <a:srgbClr val="CBD5E1"/>
      </a:solidFill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1"/>
  <c:chart>
    <c:title>
      <c:tx>
        <c:rich>
          <a:bodyPr/>
          <a:lstStyle/>
          <a:p>
            <a:pPr>
              <a:defRPr sz="1100" b="1">
                <a:solidFill>
                  <a:srgbClr val="1E293B"/>
                </a:solidFill>
              </a:defRPr>
            </a:pPr>
            <a:r>
              <a:rPr lang="ko-KR" sz="1100" b="1"/>
              <a:t>월별 매출 · 총비용 · 순이익 추이 (26.11 ~ 27.10)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'1_매출손익_대시보드'!$D$30</c:f>
              <c:strCache>
                <c:ptCount val="1"/>
                <c:pt idx="0">
                  <c:v>총 매출</c:v>
                </c:pt>
              </c:strCache>
            </c:strRef>
          </c:tx>
          <c:spPr>
            <a:solidFill>
              <a:srgbClr val="2B4CBE"/>
            </a:solidFill>
          </c:spPr>
          <c:invertIfNegative val="0"/>
          <c:cat>
            <c:strRef>
              <c:f>'1_매출손익_대시보드'!$B$31:$B$42</c:f>
              <c:strCache>
                <c:ptCount val="12"/>
                <c:pt idx="0">
                  <c:v>26년 11월</c:v>
                </c:pt>
                <c:pt idx="1">
                  <c:v>26년 12월</c:v>
                </c:pt>
                <c:pt idx="2">
                  <c:v>27년 1월</c:v>
                </c:pt>
                <c:pt idx="3">
                  <c:v>27년 2월</c:v>
                </c:pt>
                <c:pt idx="4">
                  <c:v>27년 3월</c:v>
                </c:pt>
                <c:pt idx="5">
                  <c:v>27년 4월</c:v>
                </c:pt>
                <c:pt idx="6">
                  <c:v>27년 5월</c:v>
                </c:pt>
                <c:pt idx="7">
                  <c:v>27년 6월</c:v>
                </c:pt>
                <c:pt idx="8">
                  <c:v>27년 7월</c:v>
                </c:pt>
                <c:pt idx="9">
                  <c:v>27년 8월</c:v>
                </c:pt>
                <c:pt idx="10">
                  <c:v>27년 9월</c:v>
                </c:pt>
                <c:pt idx="11">
                  <c:v>27년 10월</c:v>
                </c:pt>
              </c:strCache>
            </c:strRef>
          </c:cat>
          <c:val>
            <c:numRef>
              <c:f>'1_매출손익_대시보드'!$D$31:$D$42</c:f>
              <c:numCache>
                <c:formatCode>#,##0</c:formatCode>
                <c:ptCount val="12"/>
                <c:pt idx="0">
                  <c:v>14505000</c:v>
                </c:pt>
                <c:pt idx="1">
                  <c:v>11050000</c:v>
                </c:pt>
                <c:pt idx="2">
                  <c:v>13580000</c:v>
                </c:pt>
                <c:pt idx="3">
                  <c:v>7670000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'1_매출손익_대시보드'!$E$30</c:f>
              <c:strCache>
                <c:ptCount val="1"/>
                <c:pt idx="0">
                  <c:v>총 지출(비용)</c:v>
                </c:pt>
              </c:strCache>
            </c:strRef>
          </c:tx>
          <c:spPr>
            <a:solidFill>
              <a:srgbClr val="92ADD0"/>
            </a:solidFill>
          </c:spPr>
          <c:invertIfNegative val="0"/>
          <c:cat>
            <c:strRef>
              <c:f>'1_매출손익_대시보드'!$B$31:$B$42</c:f>
              <c:strCache>
                <c:ptCount val="12"/>
                <c:pt idx="0">
                  <c:v>26년 11월</c:v>
                </c:pt>
                <c:pt idx="1">
                  <c:v>26년 12월</c:v>
                </c:pt>
                <c:pt idx="2">
                  <c:v>27년 1월</c:v>
                </c:pt>
                <c:pt idx="3">
                  <c:v>27년 2월</c:v>
                </c:pt>
                <c:pt idx="4">
                  <c:v>27년 3월</c:v>
                </c:pt>
                <c:pt idx="5">
                  <c:v>27년 4월</c:v>
                </c:pt>
                <c:pt idx="6">
                  <c:v>27년 5월</c:v>
                </c:pt>
                <c:pt idx="7">
                  <c:v>27년 6월</c:v>
                </c:pt>
                <c:pt idx="8">
                  <c:v>27년 7월</c:v>
                </c:pt>
                <c:pt idx="9">
                  <c:v>27년 8월</c:v>
                </c:pt>
                <c:pt idx="10">
                  <c:v>27년 9월</c:v>
                </c:pt>
                <c:pt idx="11">
                  <c:v>27년 10월</c:v>
                </c:pt>
              </c:strCache>
            </c:strRef>
          </c:cat>
          <c:val>
            <c:numRef>
              <c:f>'1_매출손익_대시보드'!$E$31:$E$42</c:f>
              <c:numCache>
                <c:formatCode>#,##0</c:formatCode>
                <c:ptCount val="12"/>
                <c:pt idx="0">
                  <c:v>2228550</c:v>
                </c:pt>
                <c:pt idx="1">
                  <c:v>1526100</c:v>
                </c:pt>
                <c:pt idx="2">
                  <c:v>1782540</c:v>
                </c:pt>
                <c:pt idx="3">
                  <c:v>1122260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2"/>
          <c:order val="2"/>
          <c:tx>
            <c:strRef>
              <c:f>'1_매출손익_대시보드'!$F$30</c:f>
              <c:strCache>
                <c:ptCount val="1"/>
                <c:pt idx="0">
                  <c:v>순이익</c:v>
                </c:pt>
              </c:strCache>
            </c:strRef>
          </c:tx>
          <c:spPr>
            <a:solidFill>
              <a:srgbClr val="C5D185"/>
            </a:solidFill>
          </c:spPr>
          <c:invertIfNegative val="0"/>
          <c:cat>
            <c:strRef>
              <c:f>'1_매출손익_대시보드'!$B$31:$B$42</c:f>
              <c:strCache>
                <c:ptCount val="12"/>
                <c:pt idx="0">
                  <c:v>26년 11월</c:v>
                </c:pt>
                <c:pt idx="1">
                  <c:v>26년 12월</c:v>
                </c:pt>
                <c:pt idx="2">
                  <c:v>27년 1월</c:v>
                </c:pt>
                <c:pt idx="3">
                  <c:v>27년 2월</c:v>
                </c:pt>
                <c:pt idx="4">
                  <c:v>27년 3월</c:v>
                </c:pt>
                <c:pt idx="5">
                  <c:v>27년 4월</c:v>
                </c:pt>
                <c:pt idx="6">
                  <c:v>27년 5월</c:v>
                </c:pt>
                <c:pt idx="7">
                  <c:v>27년 6월</c:v>
                </c:pt>
                <c:pt idx="8">
                  <c:v>27년 7월</c:v>
                </c:pt>
                <c:pt idx="9">
                  <c:v>27년 8월</c:v>
                </c:pt>
                <c:pt idx="10">
                  <c:v>27년 9월</c:v>
                </c:pt>
                <c:pt idx="11">
                  <c:v>27년 10월</c:v>
                </c:pt>
              </c:strCache>
            </c:strRef>
          </c:cat>
          <c:val>
            <c:numRef>
              <c:f>'1_매출손익_대시보드'!$F$31:$F$42</c:f>
              <c:numCache>
                <c:formatCode>#,##0</c:formatCode>
                <c:ptCount val="12"/>
                <c:pt idx="0">
                  <c:v>12276450</c:v>
                </c:pt>
                <c:pt idx="1">
                  <c:v>9523900</c:v>
                </c:pt>
                <c:pt idx="2">
                  <c:v>11797460</c:v>
                </c:pt>
                <c:pt idx="3">
                  <c:v>6547740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15"/>
        <c:axId val="101"/>
        <c:axId val="102"/>
      </c:barChart>
      <c:catAx>
        <c:axId val="1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2"/>
        <c:crosses val="autoZero"/>
        <c:auto val="1"/>
        <c:lblAlgn val="ctr"/>
        <c:lblOffset val="100"/>
      </c:catAx>
      <c:valAx>
        <c:axId val="102"/>
        <c:scaling>
          <c:orientation val="minMax"/>
        </c:scaling>
        <c:delete val="0"/>
        <c:axPos val="l"/>
        <c:majorGridlines>
          <c:spPr>
            <a:ln w="6350">
              <a:solidFill>
                <a:srgbClr val="E2E8F0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crossAx val="101"/>
        <c:crosses val="autoZero"/>
        <c:crossBetween val="between"/>
      </c:valAx>
    </c:plotArea>
    <c:legend>
      <c:legendPos val="b"/>
      <c:overlay val="0"/>
    </c:legend>
    <c:plotVisOnly val="1"/>
  </c:chart>
  <c:spPr>
    <a:solidFill>
      <a:srgbClr val="FFFFFF"/>
    </a:solidFill>
    <a:ln w="9525">
      <a:solidFill>
        <a:srgbClr val="CBD5E1"/>
      </a:solidFill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1"/>
  <c:chart>
    <c:title>
      <c:tx>
        <c:rich>
          <a:bodyPr/>
          <a:lstStyle/>
          <a:p>
            <a:pPr>
              <a:defRPr sz="1100" b="1">
                <a:solidFill>
                  <a:srgbClr val="1E293B"/>
                </a:solidFill>
              </a:defRPr>
            </a:pPr>
            <a:r>
              <a:rPr lang="ko-KR" sz="1100" b="1"/>
              <a:t>판매채널별 매출 비중 (금액 및 비율 %)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strRef>
              <c:f>'1_매출손익_대시보드'!$L$30</c:f>
              <c:strCache>
                <c:ptCount val="1"/>
                <c:pt idx="0">
                  <c:v>매출액 (원)</c:v>
                </c:pt>
              </c:strCache>
            </c:strRef>
          </c:tx>
          <c:dPt>
            <c:idx val="0"/>
            <c:bubble3D val="0"/>
            <c:spPr>
              <a:solidFill>
                <a:srgbClr val="92ADD0"/>
              </a:solidFill>
            </c:spPr>
          </c:dPt>
          <c:dPt>
            <c:idx val="1"/>
            <c:bubble3D val="0"/>
            <c:spPr>
              <a:solidFill>
                <a:srgbClr val="C1D4F5"/>
              </a:solidFill>
            </c:spPr>
          </c:dPt>
          <c:dPt>
            <c:idx val="2"/>
            <c:bubble3D val="0"/>
            <c:spPr>
              <a:solidFill>
                <a:srgbClr val="112240"/>
              </a:solidFill>
            </c:spPr>
          </c:dPt>
          <c:dPt>
            <c:idx val="3"/>
            <c:bubble3D val="0"/>
            <c:spPr>
              <a:solidFill>
                <a:srgbClr val="E6CC55"/>
              </a:solidFill>
            </c:spPr>
          </c:dPt>
          <c:dPt>
            <c:idx val="4"/>
            <c:bubble3D val="0"/>
            <c:spPr>
              <a:solidFill>
                <a:srgbClr val="5C7CFA"/>
              </a:solidFill>
            </c:spPr>
          </c:dPt>
          <c:dPt>
            <c:idx val="5"/>
            <c:bubble3D val="0"/>
            <c:spPr>
              <a:solidFill>
                <a:srgbClr val="C5D185"/>
              </a:solidFill>
            </c:spPr>
          </c:dPt>
          <c:dPt>
            <c:idx val="6"/>
            <c:bubble3D val="0"/>
            <c:spPr>
              <a:solidFill>
                <a:srgbClr val="8E9AAF"/>
              </a:solidFill>
            </c:spPr>
          </c:dPt>
          <c:dLbls>
            <c:numFmt formatCode="#,##0" sourceLinked="0"/>
            <c:showLegendKey val="0"/>
            <c:showVal val="1"/>
            <c:showCatName val="1"/>
            <c:showSerName val="0"/>
            <c:showPercent val="1"/>
            <c:showBubbleSize val="0"/>
            <c:separator>, </c:separator>
          </c:dLbls>
          <c:cat>
            <c:strRef>
              <c:f>'1_매출손익_대시보드'!$J$31:$J$37</c:f>
              <c:strCache>
                <c:ptCount val="7"/>
                <c:pt idx="0">
                  <c:v>농라</c:v>
                </c:pt>
                <c:pt idx="1">
                  <c:v>스마트스토어</c:v>
                </c:pt>
                <c:pt idx="2">
                  <c:v>카톡</c:v>
                </c:pt>
                <c:pt idx="3">
                  <c:v>고흥몰</c:v>
                </c:pt>
                <c:pt idx="4">
                  <c:v>남도장터</c:v>
                </c:pt>
                <c:pt idx="5">
                  <c:v>로컬푸드</c:v>
                </c:pt>
                <c:pt idx="6">
                  <c:v>기타</c:v>
                </c:pt>
              </c:strCache>
            </c:strRef>
          </c:cat>
          <c:val>
            <c:numRef>
              <c:f>'1_매출손익_대시보드'!$L$31:$L$37</c:f>
              <c:numCache>
                <c:formatCode>#,##0</c:formatCode>
                <c:ptCount val="7"/>
                <c:pt idx="0">
                  <c:v>3330000</c:v>
                </c:pt>
                <c:pt idx="1">
                  <c:v>2400000</c:v>
                </c:pt>
                <c:pt idx="2">
                  <c:v>2100000</c:v>
                </c:pt>
                <c:pt idx="3">
                  <c:v>3140000</c:v>
                </c:pt>
                <c:pt idx="4">
                  <c:v>1540000</c:v>
                </c:pt>
                <c:pt idx="5">
                  <c:v>1150000</c:v>
                </c:pt>
                <c:pt idx="6">
                  <c:v>845000</c:v>
                </c:pt>
              </c:numCache>
            </c:numRef>
          </c:val>
        </c:ser>
        <c:firstSliceAng val="0"/>
        <c:holeSize val="55"/>
      </c:doughnutChart>
    </c:plotArea>
    <c:legend>
      <c:legendPos val="r"/>
      <c:overlay val="0"/>
    </c:legend>
    <c:plotVisOnly val="1"/>
  </c:chart>
  <c:spPr>
    <a:solidFill>
      <a:srgbClr val="FFFFFF"/>
    </a:solidFill>
    <a:ln w="9525">
      <a:solidFill>
        <a:srgbClr val="CBD5E1"/>
      </a:solidFill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1"/>
  <c:chart>
    <c:title>
      <c:tx>
        <c:rich>
          <a:bodyPr/>
          <a:lstStyle/>
          <a:p>
            <a:pPr>
              <a:defRPr sz="1100" b="1">
                <a:solidFill>
                  <a:srgbClr val="1E293B"/>
                </a:solidFill>
              </a:defRPr>
            </a:pPr>
            <a:r>
              <a:rPr lang="ko-KR" sz="1100" b="1"/>
              <a:t>판매채널별 순이익 비교 (공통비 전 vs 후)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'4_판매채널별_손익분석'!$M$7</c:f>
              <c:strCache>
                <c:ptCount val="1"/>
                <c:pt idx="0">
                  <c:v>순이익(공통비 전)</c:v>
                </c:pt>
              </c:strCache>
            </c:strRef>
          </c:tx>
          <c:spPr>
            <a:solidFill>
              <a:srgbClr val="2B4CBE"/>
            </a:solidFill>
          </c:spPr>
          <c:invertIfNegative val="0"/>
          <c:cat>
            <c:strRef>
              <c:f>'4_판매채널별_손익분석'!$C$8:$C$14</c:f>
              <c:strCache>
                <c:ptCount val="7"/>
                <c:pt idx="0">
                  <c:v>농라</c:v>
                </c:pt>
                <c:pt idx="1">
                  <c:v>고흥몰</c:v>
                </c:pt>
                <c:pt idx="2">
                  <c:v>스마트스토어</c:v>
                </c:pt>
                <c:pt idx="3">
                  <c:v>카톡</c:v>
                </c:pt>
                <c:pt idx="4">
                  <c:v>남도장터</c:v>
                </c:pt>
                <c:pt idx="5">
                  <c:v>로컬푸드</c:v>
                </c:pt>
                <c:pt idx="6">
                  <c:v>기타</c:v>
                </c:pt>
              </c:strCache>
            </c:strRef>
          </c:cat>
          <c:val>
            <c:numRef>
              <c:f>'4_판매채널별_손익분석'!$M$8:$M$14</c:f>
              <c:numCache>
                <c:formatCode>#,##0</c:formatCode>
                <c:ptCount val="7"/>
                <c:pt idx="0">
                  <c:v>2940400</c:v>
                </c:pt>
                <c:pt idx="1">
                  <c:v>2692100</c:v>
                </c:pt>
                <c:pt idx="2">
                  <c:v>1986400</c:v>
                </c:pt>
                <c:pt idx="3">
                  <c:v>1782500</c:v>
                </c:pt>
                <c:pt idx="4">
                  <c:v>1301400</c:v>
                </c:pt>
                <c:pt idx="5">
                  <c:v>1005000</c:v>
                </c:pt>
                <c:pt idx="6">
                  <c:v>568650</c:v>
                </c:pt>
              </c:numCache>
            </c:numRef>
          </c:val>
        </c:ser>
        <c:ser>
          <c:idx val="1"/>
          <c:order val="1"/>
          <c:tx>
            <c:strRef>
              <c:f>'4_판매채널별_손익분석'!$P$7</c:f>
              <c:strCache>
                <c:ptCount val="1"/>
                <c:pt idx="0">
                  <c:v>최종 순이익(공통비 후)</c:v>
                </c:pt>
              </c:strCache>
            </c:strRef>
          </c:tx>
          <c:spPr>
            <a:solidFill>
              <a:srgbClr val="C5D185"/>
            </a:solidFill>
          </c:spPr>
          <c:invertIfNegative val="0"/>
          <c:cat>
            <c:strRef>
              <c:f>'4_판매채널별_손익분석'!$C$8:$C$14</c:f>
              <c:strCache>
                <c:ptCount val="7"/>
                <c:pt idx="0">
                  <c:v>농라</c:v>
                </c:pt>
                <c:pt idx="1">
                  <c:v>고흥몰</c:v>
                </c:pt>
                <c:pt idx="2">
                  <c:v>스마트스토어</c:v>
                </c:pt>
                <c:pt idx="3">
                  <c:v>카톡</c:v>
                </c:pt>
                <c:pt idx="4">
                  <c:v>남도장터</c:v>
                </c:pt>
                <c:pt idx="5">
                  <c:v>로컬푸드</c:v>
                </c:pt>
                <c:pt idx="6">
                  <c:v>기타</c:v>
                </c:pt>
              </c:strCache>
            </c:strRef>
          </c:cat>
          <c:val>
            <c:numRef>
              <c:f>'4_판매채널별_손익분석'!$P$8:$P$14</c:f>
              <c:numCache>
                <c:formatCode>#,##0</c:formatCode>
                <c:ptCount val="7"/>
                <c:pt idx="0">
                  <c:v>2756739</c:v>
                </c:pt>
                <c:pt idx="1">
                  <c:v>2518918</c:v>
                </c:pt>
                <c:pt idx="2">
                  <c:v>1854032</c:v>
                </c:pt>
                <c:pt idx="3">
                  <c:v>1666678</c:v>
                </c:pt>
                <c:pt idx="4">
                  <c:v>1216464</c:v>
                </c:pt>
                <c:pt idx="5">
                  <c:v>941574</c:v>
                </c:pt>
                <c:pt idx="6">
                  <c:v>522045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15"/>
        <c:axId val="101"/>
        <c:axId val="102"/>
      </c:barChart>
      <c:catAx>
        <c:axId val="1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2"/>
        <c:crosses val="autoZero"/>
        <c:auto val="1"/>
        <c:lblAlgn val="ctr"/>
        <c:lblOffset val="100"/>
      </c:catAx>
      <c:valAx>
        <c:axId val="102"/>
        <c:scaling>
          <c:orientation val="minMax"/>
        </c:scaling>
        <c:delete val="0"/>
        <c:axPos val="l"/>
        <c:majorGridlines>
          <c:spPr>
            <a:ln w="6350">
              <a:solidFill>
                <a:srgbClr val="E2E8F0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crossAx val="101"/>
        <c:crosses val="autoZero"/>
        <c:crossBetween val="between"/>
      </c:valAx>
    </c:plotArea>
    <c:legend>
      <c:legendPos val="b"/>
      <c:overlay val="0"/>
    </c:legend>
    <c:plotVisOnly val="1"/>
  </c:chart>
  <c:spPr>
    <a:solidFill>
      <a:srgbClr val="FFFFFF"/>
    </a:solidFill>
    <a:ln w="9525">
      <a:solidFill>
        <a:srgbClr val="CBD5E1"/>
      </a:solidFill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1"/>
  <c:chart>
    <c:title>
      <c:tx>
        <c:rich>
          <a:bodyPr/>
          <a:lstStyle/>
          <a:p>
            <a:pPr>
              <a:defRPr sz="1100" b="1">
                <a:solidFill>
                  <a:srgbClr val="1E293B"/>
                </a:solidFill>
              </a:defRPr>
            </a:pPr>
            <a:r>
              <a:rPr lang="ko-KR" sz="1100" b="1"/>
              <a:t>판매채널별 매출액 및 순이익 비교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'4_판매채널별_손익분석'!$G$7</c:f>
              <c:strCache>
                <c:ptCount val="1"/>
                <c:pt idx="0">
                  <c:v>매출액 (원)</c:v>
                </c:pt>
              </c:strCache>
            </c:strRef>
          </c:tx>
          <c:spPr>
            <a:solidFill>
              <a:srgbClr val="2B4CBE"/>
            </a:solidFill>
          </c:spPr>
          <c:invertIfNegative val="0"/>
          <c:cat>
            <c:strRef>
              <c:f>'4_판매채널별_손익분석'!$C$8:$C$14</c:f>
              <c:strCache>
                <c:ptCount val="7"/>
                <c:pt idx="0">
                  <c:v>농라</c:v>
                </c:pt>
                <c:pt idx="1">
                  <c:v>고흥몰</c:v>
                </c:pt>
                <c:pt idx="2">
                  <c:v>스마트스토어</c:v>
                </c:pt>
                <c:pt idx="3">
                  <c:v>카톡</c:v>
                </c:pt>
                <c:pt idx="4">
                  <c:v>남도장터</c:v>
                </c:pt>
                <c:pt idx="5">
                  <c:v>로컬푸드</c:v>
                </c:pt>
                <c:pt idx="6">
                  <c:v>기타</c:v>
                </c:pt>
              </c:strCache>
            </c:strRef>
          </c:cat>
          <c:val>
            <c:numRef>
              <c:f>'4_판매채널별_손익분석'!$G$8:$G$14</c:f>
              <c:numCache>
                <c:formatCode>#,##0</c:formatCode>
                <c:ptCount val="7"/>
                <c:pt idx="0">
                  <c:v>3330000</c:v>
                </c:pt>
                <c:pt idx="1">
                  <c:v>3140000</c:v>
                </c:pt>
                <c:pt idx="2">
                  <c:v>2400000</c:v>
                </c:pt>
                <c:pt idx="3">
                  <c:v>2100000</c:v>
                </c:pt>
                <c:pt idx="4">
                  <c:v>1540000</c:v>
                </c:pt>
                <c:pt idx="5">
                  <c:v>1150000</c:v>
                </c:pt>
                <c:pt idx="6">
                  <c:v>845000</c:v>
                </c:pt>
              </c:numCache>
            </c:numRef>
          </c:val>
        </c:ser>
        <c:ser>
          <c:idx val="1"/>
          <c:order val="1"/>
          <c:tx>
            <c:strRef>
              <c:f>'4_판매채널별_손익분석'!$M$7</c:f>
              <c:strCache>
                <c:ptCount val="1"/>
                <c:pt idx="0">
                  <c:v>순이익(공통비 전)</c:v>
                </c:pt>
              </c:strCache>
            </c:strRef>
          </c:tx>
          <c:spPr>
            <a:solidFill>
              <a:srgbClr val="C5D185"/>
            </a:solidFill>
          </c:spPr>
          <c:invertIfNegative val="0"/>
          <c:cat>
            <c:strRef>
              <c:f>'4_판매채널별_손익분석'!$C$8:$C$14</c:f>
              <c:strCache>
                <c:ptCount val="7"/>
                <c:pt idx="0">
                  <c:v>농라</c:v>
                </c:pt>
                <c:pt idx="1">
                  <c:v>고흥몰</c:v>
                </c:pt>
                <c:pt idx="2">
                  <c:v>스마트스토어</c:v>
                </c:pt>
                <c:pt idx="3">
                  <c:v>카톡</c:v>
                </c:pt>
                <c:pt idx="4">
                  <c:v>남도장터</c:v>
                </c:pt>
                <c:pt idx="5">
                  <c:v>로컬푸드</c:v>
                </c:pt>
                <c:pt idx="6">
                  <c:v>기타</c:v>
                </c:pt>
              </c:strCache>
            </c:strRef>
          </c:cat>
          <c:val>
            <c:numRef>
              <c:f>'4_판매채널별_손익분석'!$M$8:$M$14</c:f>
              <c:numCache>
                <c:formatCode>#,##0</c:formatCode>
                <c:ptCount val="7"/>
                <c:pt idx="0">
                  <c:v>2940400</c:v>
                </c:pt>
                <c:pt idx="1">
                  <c:v>2692100</c:v>
                </c:pt>
                <c:pt idx="2">
                  <c:v>1986400</c:v>
                </c:pt>
                <c:pt idx="3">
                  <c:v>1782500</c:v>
                </c:pt>
                <c:pt idx="4">
                  <c:v>1301400</c:v>
                </c:pt>
                <c:pt idx="5">
                  <c:v>1005000</c:v>
                </c:pt>
                <c:pt idx="6">
                  <c:v>568650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15"/>
        <c:axId val="101"/>
        <c:axId val="102"/>
      </c:barChart>
      <c:catAx>
        <c:axId val="1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2"/>
        <c:crosses val="autoZero"/>
        <c:auto val="1"/>
        <c:lblAlgn val="ctr"/>
        <c:lblOffset val="100"/>
      </c:catAx>
      <c:valAx>
        <c:axId val="102"/>
        <c:scaling>
          <c:orientation val="minMax"/>
        </c:scaling>
        <c:delete val="0"/>
        <c:axPos val="l"/>
        <c:majorGridlines>
          <c:spPr>
            <a:ln w="6350">
              <a:solidFill>
                <a:srgbClr val="E2E8F0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crossAx val="101"/>
        <c:crosses val="autoZero"/>
        <c:crossBetween val="between"/>
      </c:valAx>
    </c:plotArea>
    <c:legend>
      <c:legendPos val="b"/>
      <c:overlay val="0"/>
    </c:legend>
    <c:plotVisOnly val="1"/>
  </c:chart>
  <c:spPr>
    <a:solidFill>
      <a:srgbClr val="FFFFFF"/>
    </a:solidFill>
    <a:ln w="9525">
      <a:solidFill>
        <a:srgbClr val="CBD5E1"/>
      </a:solidFill>
    </a:ln>
  </c:spPr>
</c:chartSpace>
</file>

<file path=xl/drawings/_rels/drawing1.xml.rels><?xml version="1.0" encoding="UTF-8" standalone="yes"?>
<Relationships xmlns="http://schemas.openxmlformats.org/package/2006/relationships">
  <Relationship Id="rId1" Type="http://schemas.openxmlformats.org/officeDocument/2006/relationships/chart" Target="../charts/chart1.xml"/>
  <Relationship Id="rId2" Type="http://schemas.openxmlformats.org/officeDocument/2006/relationships/chart" Target="../charts/chart2.xml"/>
  <Relationship Id="rId3" Type="http://schemas.openxmlformats.org/officeDocument/2006/relationships/chart" Target="../charts/chart3.xml"/>
</Relationships>
</file>

<file path=xl/drawings/_rels/drawing2.xml.rels><?xml version="1.0" encoding="UTF-8" standalone="yes"?>
<Relationships xmlns="http://schemas.openxmlformats.org/package/2006/relationships">
  <Relationship Id="rId1" Type="http://schemas.openxmlformats.org/officeDocument/2006/relationships/chart" Target="../charts/chart4.xml"/>
  <Relationship Id="rId2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95250</xdr:colOff>
      <xdr:row>10</xdr:row>
      <xdr:rowOff>47625</xdr:rowOff>
    </xdr:from>
    <xdr:to>
      <xdr:col>5</xdr:col>
      <xdr:colOff>0</xdr:colOff>
      <xdr:row>27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95250</xdr:colOff>
      <xdr:row>10</xdr:row>
      <xdr:rowOff>47625</xdr:rowOff>
    </xdr:from>
    <xdr:to>
      <xdr:col>10</xdr:col>
      <xdr:colOff>0</xdr:colOff>
      <xdr:row>27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95250</xdr:colOff>
      <xdr:row>10</xdr:row>
      <xdr:rowOff>47625</xdr:rowOff>
    </xdr:from>
    <xdr:to>
      <xdr:col>15</xdr:col>
      <xdr:colOff>0</xdr:colOff>
      <xdr:row>27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95250</xdr:colOff>
      <xdr:row>18</xdr:row>
      <xdr:rowOff>47625</xdr:rowOff>
    </xdr:from>
    <xdr:to>
      <xdr:col>8</xdr:col>
      <xdr:colOff>0</xdr:colOff>
      <xdr:row>34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95250</xdr:colOff>
      <xdr:row>18</xdr:row>
      <xdr:rowOff>47625</xdr:rowOff>
    </xdr:from>
    <xdr:to>
      <xdr:col>16</xdr:col>
      <xdr:colOff>0</xdr:colOff>
      <xdr:row>34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worksheets/_rels/sheet1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rawing1.xml"/>
</Relationships>
</file>

<file path=xl/worksheets/_rels/sheet4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showGridLines="1">
      <pane ySplit="4" topLeftCell="A5" activePane="bottomLeft" state="frozen"/>
    </sheetView>
  </sheetViews>
  <sheetFormatPr defaultRowHeight="20"/>
  <cols>
    <col min="1" max="1" width="3" customWidth="1"/>
    <col min="2" max="15" width="15" customWidth="1"/>
  </cols>
  <sheetData>
    <row r="2" ht="30" customHeight="1">
      <c r="B2" s="1" t="inlineStr">
        <is>
          <t>매출·지출관리 스프레드시트(순이익/실적 자동계산) | 경영 실적 종합 대시보드</t>
        </is>
      </c>
      <c r="J2" s="22" t="inlineStr">
        <is>
          <t>💡 조회 연월(2026-11 ~ 2027-10) 또는 시작·종료일을 선택하면 요약과 그래프가 자동 갱신됩니다.</t>
        </is>
      </c>
    </row>
    <row r="3" ht="22" customHeight="1">
      <c r="B3" s="3" t="inlineStr">
        <is>
          <t>조회 연월 선택</t>
        </is>
      </c>
      <c r="C3" s="4" t="inlineStr">
        <is>
          <t>12개월 총 목표매출</t>
        </is>
      </c>
      <c r="D3" s="3" t="inlineStr">
        <is>
          <t>직접 시작일(선택)</t>
        </is>
      </c>
      <c r="E3" s="3" t="inlineStr">
        <is>
          <t>직접 종료일(선택)</t>
        </is>
      </c>
      <c r="F3" s="4" t="inlineStr">
        <is>
          <t>적용 시작일(자동)</t>
        </is>
      </c>
      <c r="G3" s="4" t="inlineStr">
        <is>
          <t>적용 종료일(자동)</t>
        </is>
      </c>
      <c r="H3" s="4" t="inlineStr">
        <is>
          <t>비용설정 누락건수</t>
        </is>
      </c>
      <c r="I3" s="4" t="inlineStr">
        <is>
          <t>기간설정 중복건수</t>
        </is>
      </c>
      <c r="J3" s="4" t="inlineStr">
        <is>
          <t>데이터/설정 종합 점검 상태</t>
        </is>
      </c>
      <c r="K3" s="4"/>
      <c r="L3" s="4"/>
      <c r="M3" s="4"/>
      <c r="N3" s="4"/>
      <c r="O3" s="4"/>
    </row>
    <row r="4" ht="26" customHeight="1">
      <c r="B4" s="5" t="inlineStr">
        <is>
          <t>2026-11</t>
        </is>
      </c>
      <c r="C4" s="13">
        <f>'5_목표매출_및_공통비용'!E19</f>
        <v>140000000</v>
      </c>
      <c r="D4" s="7"/>
      <c r="E4" s="7"/>
      <c r="F4" s="11">
        <f>IF(D4&lt;&gt;"",D4,IF(B4="전체",DATE(2026,11,1),DATE(VALUE(LEFT(B4,4)),VALUE(RIGHT(B4,2)),1)))</f>
        <v>46327</v>
      </c>
      <c r="G4" s="11">
        <f>IF(E4&lt;&gt;"",E4,IF(B4="전체",DATE(2027,10,31),EOMONTH(DATE(VALUE(LEFT(B4,4)),VALUE(RIGHT(B4,2)),1),0)))</f>
        <v>46356</v>
      </c>
      <c r="H4" s="12">
        <f>COUNTIF('2_일일매출_입력'!$J$6:$J$305,"비용 설정 필요")</f>
        <v>0</v>
      </c>
      <c r="I4" s="12">
        <f>COUNTIF('3_채널별_비용설정'!$N$6:$N$55,"*중복*")+COUNTIF('3_채널별_비용설정'!$N$6:$N$55,"*오류*")</f>
        <v>0</v>
      </c>
      <c r="J4" s="27" t="str">
        <f>IF(H4+I4=0,"✅ 모든 채널 비용 설정 및 기간 적용 정상","⚠️ 비용 설정 누락(" &amp; H4 &amp; "건) 또는 기간 중복(" &amp; I4 &amp; "건) 점검 필요!")</f>
        <v>✅ 모든 채널 비용 설정 및 기간 적용 정상</v>
      </c>
      <c r="K4" s="27"/>
      <c r="L4" s="27"/>
      <c r="M4" s="27"/>
      <c r="N4" s="27"/>
      <c r="O4" s="27"/>
    </row>
    <row r="6" ht="20" customHeight="1">
      <c r="B6" s="19" t="inlineStr">
        <is>
          <t>선택기간 목표매출 (원)</t>
        </is>
      </c>
      <c r="C6" s="19"/>
      <c r="D6" s="19" t="inlineStr">
        <is>
          <t>총 매출액 (실제매출)</t>
        </is>
      </c>
      <c r="E6" s="19"/>
      <c r="F6" s="19" t="inlineStr">
        <is>
          <t>목표 달성률 (%)</t>
        </is>
      </c>
      <c r="G6" s="19"/>
      <c r="H6" s="19" t="inlineStr">
        <is>
          <t>총 주문건수 (미만+이상)</t>
        </is>
      </c>
      <c r="I6" s="19"/>
      <c r="J6" s="19" t="inlineStr">
        <is>
          <t>총비용 (공통비 제외)</t>
        </is>
      </c>
      <c r="K6" s="19"/>
      <c r="L6" s="19" t="inlineStr">
        <is>
          <t>총 순이익 (공통비 전)</t>
        </is>
      </c>
      <c r="M6" s="19"/>
      <c r="N6" s="19" t="inlineStr">
        <is>
          <t>순이익률 (공통비 전)</t>
        </is>
      </c>
      <c r="O6" s="19"/>
    </row>
    <row r="7" ht="32" customHeight="1">
      <c r="B7" s="20">
        <f>'5_목표매출_및_공통비용'!G19</f>
        <v>12000000</v>
      </c>
      <c r="C7" s="20"/>
      <c r="D7" s="20">
        <f>SUMIFS('2_일일매출_입력'!$G$6:$G$305,'2_일일매출_입력'!$B$6:$B$305,"&gt;="&amp;$F$4,'2_일일매출_입력'!$B$6:$B$305,"&lt;="&amp;$G$4)</f>
        <v>14505000</v>
      </c>
      <c r="E7" s="20"/>
      <c r="F7" s="21">
        <f>IFERROR(D7/B7,0)</f>
        <v>1.20875</v>
      </c>
      <c r="G7" s="21"/>
      <c r="H7" s="20">
        <f>SUMIFS('2_일일매출_입력'!$F$6:$F$305,'2_일일매출_입력'!$B$6:$B$305,"&gt;="&amp;$F$4,'2_일일매출_입력'!$B$6:$B$305,"&lt;="&amp;$G$4)</f>
        <v>400</v>
      </c>
      <c r="I7" s="20"/>
      <c r="J7" s="20">
        <f>SUMIFS('2_일일매출_입력'!$P$6:$P$305,'2_일일매출_입력'!$B$6:$B$305,"&gt;="&amp;$F$4,'2_일일매출_입력'!$B$6:$B$305,"&lt;="&amp;$G$4)</f>
        <v>2228550</v>
      </c>
      <c r="K7" s="20"/>
      <c r="L7" s="20">
        <f>D7-J7</f>
        <v>12276450</v>
      </c>
      <c r="M7" s="20"/>
      <c r="N7" s="21">
        <f>IFERROR(L7/D7,0)</f>
        <v>0.8463598759048604</v>
      </c>
      <c r="O7" s="21"/>
    </row>
    <row r="8" ht="20" customHeight="1">
      <c r="B8" s="19" t="inlineStr">
        <is>
          <t>10kg 미만 주문건수 (건)</t>
        </is>
      </c>
      <c r="C8" s="19"/>
      <c r="D8" s="19" t="inlineStr">
        <is>
          <t>10kg 이상 주문건수 (건)</t>
        </is>
      </c>
      <c r="E8" s="19"/>
      <c r="F8" s="19" t="inlineStr">
        <is>
          <t>매출액 기준 수수료 (원)</t>
        </is>
      </c>
      <c r="G8" s="19"/>
      <c r="H8" s="19" t="inlineStr">
        <is>
          <t>택배·포장 건수비용 합계</t>
        </is>
      </c>
      <c r="I8" s="19"/>
      <c r="J8" s="19" t="inlineStr">
        <is>
          <t>기간 공통비용 (광고·임대)</t>
        </is>
      </c>
      <c r="K8" s="19"/>
      <c r="L8" s="19" t="inlineStr">
        <is>
          <t>최종 순이익 (공통비 후)</t>
        </is>
      </c>
      <c r="M8" s="19"/>
      <c r="N8" s="19" t="inlineStr">
        <is>
          <t>최종 순이익률 (공통비 후)</t>
        </is>
      </c>
      <c r="O8" s="19"/>
    </row>
    <row r="9" ht="28" customHeight="1">
      <c r="B9" s="12">
        <f>SUMIFS('2_일일매출_입력'!$D$6:$D$305,'2_일일매출_입력'!$B$6:$B$305,"&gt;="&amp;$F$4,'2_일일매출_입력'!$B$6:$B$305,"&lt;="&amp;$G$4)</f>
        <v>279</v>
      </c>
      <c r="C9" s="12"/>
      <c r="D9" s="12">
        <f>SUMIFS('2_일일매출_입력'!$E$6:$E$305,'2_일일매출_입력'!$B$6:$B$305,"&gt;="&amp;$F$4,'2_일일매출_입력'!$B$6:$B$305,"&lt;="&amp;$G$4)</f>
        <v>121</v>
      </c>
      <c r="E9" s="12"/>
      <c r="F9" s="12">
        <f>SUMIFS('2_일일매출_입력'!$L$6:$L$305,'2_일일매출_입력'!$B$6:$B$305,"&gt;="&amp;$F$4,'2_일일매출_입력'!$B$6:$B$305,"&lt;="&amp;$G$4)</f>
        <v>547850</v>
      </c>
      <c r="G9" s="12"/>
      <c r="H9" s="12">
        <f>SUMIFS('2_일일매출_입력'!$O$6:$O$305,'2_일일매출_입력'!$B$6:$B$305,"&gt;="&amp;$F$4,'2_일일매출_입력'!$B$6:$B$305,"&lt;="&amp;$G$4)</f>
        <v>1630700</v>
      </c>
      <c r="I9" s="12"/>
      <c r="J9" s="12">
        <f>'5_목표매출_및_공통비용'!M26</f>
        <v>800000</v>
      </c>
      <c r="K9" s="12"/>
      <c r="L9" s="13">
        <f>L7-J9</f>
        <v>11476450</v>
      </c>
      <c r="M9" s="13"/>
      <c r="N9" s="14">
        <f>IFERROR(L9/D7,0)</f>
        <v>0.7912064805239573</v>
      </c>
      <c r="O9" s="14"/>
    </row>
    <row r="10">
      <c r="B10" s="2" t="inlineStr">
        <is>
          <t>전체 매출성과 및 채널별 비중 그래프 (실시간 자동 갱신)</t>
        </is>
      </c>
    </row>
    <row r="29" ht="24" customHeight="1">
      <c r="B29" s="2" t="inlineStr">
        <is>
          <t>월별 손익현황 (26년 11월 ~ 27년 10월)</t>
        </is>
      </c>
      <c r="J29" s="2" t="inlineStr">
        <is>
          <t>채널별 매출 비중 및 순이익 현황 (선택 기간)</t>
        </is>
      </c>
    </row>
    <row r="30" ht="24" customHeight="1">
      <c r="B30" s="4" t="inlineStr">
        <is>
          <t>연월</t>
        </is>
      </c>
      <c r="C30" s="4" t="inlineStr">
        <is>
          <t>목표매출</t>
        </is>
      </c>
      <c r="D30" s="4" t="inlineStr">
        <is>
          <t>총 매출</t>
        </is>
      </c>
      <c r="E30" s="4" t="inlineStr">
        <is>
          <t>총 지출(비용)</t>
        </is>
      </c>
      <c r="F30" s="4" t="inlineStr">
        <is>
          <t>순이익</t>
        </is>
      </c>
      <c r="G30" s="4" t="inlineStr">
        <is>
          <t>이익률</t>
        </is>
      </c>
      <c r="H30" s="4" t="inlineStr">
        <is>
          <t>총 주문건수</t>
        </is>
      </c>
      <c r="J30" s="4" t="inlineStr">
        <is>
          <t>채널명</t>
        </is>
      </c>
      <c r="K30" s="4" t="inlineStr">
        <is>
          <t>주문건수</t>
        </is>
      </c>
      <c r="L30" s="4" t="inlineStr">
        <is>
          <t>매출액</t>
        </is>
      </c>
      <c r="M30" s="4" t="inlineStr">
        <is>
          <t>비중</t>
        </is>
      </c>
      <c r="N30" s="4" t="inlineStr">
        <is>
          <t>순이익</t>
        </is>
      </c>
      <c r="O30" s="4" t="inlineStr">
        <is>
          <t>이익률</t>
        </is>
      </c>
    </row>
    <row r="31">
      <c r="B31" s="23" t="inlineStr">
        <is>
          <t>26년 11월</t>
        </is>
      </c>
      <c r="C31" s="25">
        <f>'5_목표매출_및_공통비용'!E7</f>
        <v>12000000</v>
      </c>
      <c r="D31" s="25">
        <f>SUMIFS('2_일일매출_입력'!$G$6:$G$305,'2_일일매출_입력'!$B$6:$B$305,"&gt;="&amp;'5_목표매출_및_공통비용'!C7,'2_일일매출_입력'!$B$6:$B$305,"&lt;="&amp;'5_목표매출_및_공통비용'!D7)</f>
        <v>14505000</v>
      </c>
      <c r="E31" s="25">
        <f>SUMIFS('2_일일매출_입력'!$P$6:$P$305,'2_일일매출_입력'!$B$6:$B$305,"&gt;="&amp;'5_목표매출_및_공통비용'!C7,'2_일일매출_입력'!$B$6:$B$305,"&lt;="&amp;'5_목표매출_및_공통비용'!D7)</f>
        <v>2228550</v>
      </c>
      <c r="F31" s="12">
        <f>D31-E31</f>
        <v>12276450</v>
      </c>
      <c r="G31" s="26">
        <f>IFERROR(F31/D31,0)</f>
        <v>0.8463598759048604</v>
      </c>
      <c r="H31" s="25">
        <f>SUMIFS('2_일일매출_입력'!$F$6:$F$305,'2_일일매출_입력'!$B$6:$B$305,"&gt;="&amp;'5_목표매출_및_공통비용'!C7,'2_일일매출_입력'!$B$6:$B$305,"&lt;="&amp;'5_목표매출_및_공통비용'!D7)</f>
        <v>400</v>
      </c>
      <c r="J31" s="23" t="str">
        <f>'6_사용설명서_및_기준관리'!B6</f>
        <v>농라</v>
      </c>
      <c r="K31" s="25">
        <f>SUMIFS('2_일일매출_입력'!$F$6:$F$305,'2_일일매출_입력'!$C$6:$C$305,J31,'2_일일매출_입력'!$B$6:$B$305,"&gt;="&amp;$F$4,'2_일일매출_입력'!$B$6:$B$305,"&lt;="&amp;$G$4)</f>
        <v>79</v>
      </c>
      <c r="L31" s="25">
        <f>SUMIFS('2_일일매출_입력'!$G$6:$G$305,'2_일일매출_입력'!$C$6:$C$305,J31,'2_일일매출_입력'!$B$6:$B$305,"&gt;="&amp;$F$4,'2_일일매출_입력'!$B$6:$B$305,"&lt;="&amp;$G$4)</f>
        <v>3330000</v>
      </c>
      <c r="M31" s="14">
        <f>IFERROR(L31/$L$38,0)</f>
        <v>0.2295760082730093</v>
      </c>
      <c r="N31" s="12">
        <f>SUMIFS('2_일일매출_입력'!$Q$6:$Q$305,'2_일일매출_입력'!$C$6:$C$305,J31,'2_일일매출_입력'!$B$6:$B$305,"&gt;="&amp;$F$4,'2_일일매출_입력'!$B$6:$B$305,"&lt;="&amp;$G$4)</f>
        <v>2940400</v>
      </c>
      <c r="O31" s="26">
        <f>IFERROR(N31/L31,0)</f>
        <v>0.883003003003003</v>
      </c>
    </row>
    <row r="32">
      <c r="B32" s="23" t="inlineStr">
        <is>
          <t>26년 12월</t>
        </is>
      </c>
      <c r="C32" s="25">
        <f>'5_목표매출_및_공통비용'!E8</f>
        <v>15000000</v>
      </c>
      <c r="D32" s="25">
        <f>SUMIFS('2_일일매출_입력'!$G$6:$G$305,'2_일일매출_입력'!$B$6:$B$305,"&gt;="&amp;'5_목표매출_및_공통비용'!C8,'2_일일매출_입력'!$B$6:$B$305,"&lt;="&amp;'5_목표매출_및_공통비용'!D8)</f>
        <v>11050000</v>
      </c>
      <c r="E32" s="25">
        <f>SUMIFS('2_일일매출_입력'!$P$6:$P$305,'2_일일매출_입력'!$B$6:$B$305,"&gt;="&amp;'5_목표매출_및_공통비용'!C8,'2_일일매출_입력'!$B$6:$B$305,"&lt;="&amp;'5_목표매출_및_공통비용'!D8)</f>
        <v>1526100</v>
      </c>
      <c r="F32" s="12">
        <f>D32-E32</f>
        <v>9523900</v>
      </c>
      <c r="G32" s="26">
        <f>IFERROR(F32/D32,0)</f>
        <v>0.8618914027149321</v>
      </c>
      <c r="H32" s="25">
        <f>SUMIFS('2_일일매출_입력'!$F$6:$F$305,'2_일일매출_입력'!$B$6:$B$305,"&gt;="&amp;'5_목표매출_및_공통비용'!C8,'2_일일매출_입력'!$B$6:$B$305,"&lt;="&amp;'5_목표매출_및_공통비용'!D8)</f>
        <v>251</v>
      </c>
      <c r="J32" s="23" t="str">
        <f>'6_사용설명서_및_기준관리'!B7</f>
        <v>스마트스토어</v>
      </c>
      <c r="K32" s="25">
        <f>SUMIFS('2_일일매출_입력'!$F$6:$F$305,'2_일일매출_입력'!$C$6:$C$305,J32,'2_일일매출_입력'!$B$6:$B$305,"&gt;="&amp;$F$4,'2_일일매출_입력'!$B$6:$B$305,"&lt;="&amp;$G$4)</f>
        <v>60</v>
      </c>
      <c r="L32" s="25">
        <f>SUMIFS('2_일일매출_입력'!$G$6:$G$305,'2_일일매출_입력'!$C$6:$C$305,J32,'2_일일매출_입력'!$B$6:$B$305,"&gt;="&amp;$F$4,'2_일일매출_입력'!$B$6:$B$305,"&lt;="&amp;$G$4)</f>
        <v>2400000</v>
      </c>
      <c r="M32" s="14">
        <f>IFERROR(L32/$L$38,0)</f>
        <v>0.1654601861427094</v>
      </c>
      <c r="N32" s="12">
        <f>SUMIFS('2_일일매출_입력'!$Q$6:$Q$305,'2_일일매출_입력'!$C$6:$C$305,J32,'2_일일매출_입력'!$B$6:$B$305,"&gt;="&amp;$F$4,'2_일일매출_입력'!$B$6:$B$305,"&lt;="&amp;$G$4)</f>
        <v>1986400</v>
      </c>
      <c r="O32" s="26">
        <f>IFERROR(N32/L32,0)</f>
        <v>0.8276666666666667</v>
      </c>
    </row>
    <row r="33">
      <c r="B33" s="23" t="inlineStr">
        <is>
          <t>27년 1월</t>
        </is>
      </c>
      <c r="C33" s="25">
        <f>'5_목표매출_및_공통비용'!E9</f>
        <v>18000000</v>
      </c>
      <c r="D33" s="25">
        <f>SUMIFS('2_일일매출_입력'!$G$6:$G$305,'2_일일매출_입력'!$B$6:$B$305,"&gt;="&amp;'5_목표매출_및_공통비용'!C9,'2_일일매출_입력'!$B$6:$B$305,"&lt;="&amp;'5_목표매출_및_공통비용'!D9)</f>
        <v>13580000</v>
      </c>
      <c r="E33" s="25">
        <f>SUMIFS('2_일일매출_입력'!$P$6:$P$305,'2_일일매출_입력'!$B$6:$B$305,"&gt;="&amp;'5_목표매출_및_공통비용'!C9,'2_일일매출_입력'!$B$6:$B$305,"&lt;="&amp;'5_목표매출_및_공통비용'!D9)</f>
        <v>1782540</v>
      </c>
      <c r="F33" s="12">
        <f>D33-E33</f>
        <v>11797460</v>
      </c>
      <c r="G33" s="26">
        <f>IFERROR(F33/D33,0)</f>
        <v>0.8687378497790869</v>
      </c>
      <c r="H33" s="25">
        <f>SUMIFS('2_일일매출_입력'!$F$6:$F$305,'2_일일매출_입력'!$B$6:$B$305,"&gt;="&amp;'5_목표매출_및_공통비용'!C9,'2_일일매출_입력'!$B$6:$B$305,"&lt;="&amp;'5_목표매출_및_공통비용'!D9)</f>
        <v>329</v>
      </c>
      <c r="J33" s="23" t="str">
        <f>'6_사용설명서_및_기준관리'!B8</f>
        <v>카톡</v>
      </c>
      <c r="K33" s="25">
        <f>SUMIFS('2_일일매출_입력'!$F$6:$F$305,'2_일일매출_입력'!$C$6:$C$305,J33,'2_일일매출_입력'!$B$6:$B$305,"&gt;="&amp;$F$4,'2_일일매출_입력'!$B$6:$B$305,"&lt;="&amp;$G$4)</f>
        <v>53</v>
      </c>
      <c r="L33" s="25">
        <f>SUMIFS('2_일일매출_입력'!$G$6:$G$305,'2_일일매출_입력'!$C$6:$C$305,J33,'2_일일매출_입력'!$B$6:$B$305,"&gt;="&amp;$F$4,'2_일일매출_입력'!$B$6:$B$305,"&lt;="&amp;$G$4)</f>
        <v>2100000</v>
      </c>
      <c r="M33" s="14">
        <f>IFERROR(L33/$L$38,0)</f>
        <v>0.14477766287487073</v>
      </c>
      <c r="N33" s="12">
        <f>SUMIFS('2_일일매출_입력'!$Q$6:$Q$305,'2_일일매출_입력'!$C$6:$C$305,J33,'2_일일매출_입력'!$B$6:$B$305,"&gt;="&amp;$F$4,'2_일일매출_입력'!$B$6:$B$305,"&lt;="&amp;$G$4)</f>
        <v>1782500</v>
      </c>
      <c r="O33" s="26">
        <f>IFERROR(N33/L33,0)</f>
        <v>0.8488095238095238</v>
      </c>
    </row>
    <row r="34">
      <c r="B34" s="23" t="inlineStr">
        <is>
          <t>27년 2월</t>
        </is>
      </c>
      <c r="C34" s="25">
        <f>'5_목표매출_및_공통비용'!E10</f>
        <v>14000000</v>
      </c>
      <c r="D34" s="25">
        <f>SUMIFS('2_일일매출_입력'!$G$6:$G$305,'2_일일매출_입력'!$B$6:$B$305,"&gt;="&amp;'5_목표매출_및_공통비용'!C10,'2_일일매출_입력'!$B$6:$B$305,"&lt;="&amp;'5_목표매출_및_공통비용'!D10)</f>
        <v>7670000</v>
      </c>
      <c r="E34" s="25">
        <f>SUMIFS('2_일일매출_입력'!$P$6:$P$305,'2_일일매출_입력'!$B$6:$B$305,"&gt;="&amp;'5_목표매출_및_공통비용'!C10,'2_일일매출_입력'!$B$6:$B$305,"&lt;="&amp;'5_목표매출_및_공통비용'!D10)</f>
        <v>1122260</v>
      </c>
      <c r="F34" s="12">
        <f>D34-E34</f>
        <v>6547740</v>
      </c>
      <c r="G34" s="26">
        <f>IFERROR(F34/D34,0)</f>
        <v>0.8536818774445893</v>
      </c>
      <c r="H34" s="25">
        <f>SUMIFS('2_일일매출_입력'!$F$6:$F$305,'2_일일매출_입력'!$B$6:$B$305,"&gt;="&amp;'5_목표매출_및_공통비용'!C10,'2_일일매출_입력'!$B$6:$B$305,"&lt;="&amp;'5_목표매출_및_공통비용'!D10)</f>
        <v>170</v>
      </c>
      <c r="J34" s="23" t="str">
        <f>'6_사용설명서_및_기준관리'!B9</f>
        <v>고흥몰</v>
      </c>
      <c r="K34" s="25">
        <f>SUMIFS('2_일일매출_입력'!$F$6:$F$305,'2_일일매출_입력'!$C$6:$C$305,J34,'2_일일매출_입력'!$B$6:$B$305,"&gt;="&amp;$F$4,'2_일일매출_입력'!$B$6:$B$305,"&lt;="&amp;$G$4)</f>
        <v>77</v>
      </c>
      <c r="L34" s="25">
        <f>SUMIFS('2_일일매출_입력'!$G$6:$G$305,'2_일일매출_입력'!$C$6:$C$305,J34,'2_일일매출_입력'!$B$6:$B$305,"&gt;="&amp;$F$4,'2_일일매출_입력'!$B$6:$B$305,"&lt;="&amp;$G$4)</f>
        <v>3140000</v>
      </c>
      <c r="M34" s="14">
        <f>IFERROR(L34/$L$38,0)</f>
        <v>0.2164770768700448</v>
      </c>
      <c r="N34" s="12">
        <f>SUMIFS('2_일일매출_입력'!$Q$6:$Q$305,'2_일일매출_입력'!$C$6:$C$305,J34,'2_일일매출_입력'!$B$6:$B$305,"&gt;="&amp;$F$4,'2_일일매출_입력'!$B$6:$B$305,"&lt;="&amp;$G$4)</f>
        <v>2692100</v>
      </c>
      <c r="O34" s="26">
        <f>IFERROR(N34/L34,0)</f>
        <v>0.8573566878980892</v>
      </c>
    </row>
    <row r="35">
      <c r="B35" s="23" t="inlineStr">
        <is>
          <t>27년 3월</t>
        </is>
      </c>
      <c r="C35" s="25">
        <f>'5_목표매출_및_공통비용'!E11</f>
        <v>10000000</v>
      </c>
      <c r="D35" s="25">
        <f>SUMIFS('2_일일매출_입력'!$G$6:$G$305,'2_일일매출_입력'!$B$6:$B$305,"&gt;="&amp;'5_목표매출_및_공통비용'!C11,'2_일일매출_입력'!$B$6:$B$305,"&lt;="&amp;'5_목표매출_및_공통비용'!D11)</f>
        <v>0</v>
      </c>
      <c r="E35" s="25">
        <f>SUMIFS('2_일일매출_입력'!$P$6:$P$305,'2_일일매출_입력'!$B$6:$B$305,"&gt;="&amp;'5_목표매출_및_공통비용'!C11,'2_일일매출_입력'!$B$6:$B$305,"&lt;="&amp;'5_목표매출_및_공통비용'!D11)</f>
        <v>0</v>
      </c>
      <c r="F35" s="12">
        <f>D35-E35</f>
        <v>0</v>
      </c>
      <c r="G35" s="26">
        <f>IFERROR(F35/D35,0)</f>
        <v>0</v>
      </c>
      <c r="H35" s="25">
        <f>SUMIFS('2_일일매출_입력'!$F$6:$F$305,'2_일일매출_입력'!$B$6:$B$305,"&gt;="&amp;'5_목표매출_및_공통비용'!C11,'2_일일매출_입력'!$B$6:$B$305,"&lt;="&amp;'5_목표매출_및_공통비용'!D11)</f>
        <v>0</v>
      </c>
      <c r="J35" s="23" t="str">
        <f>'6_사용설명서_및_기준관리'!B10</f>
        <v>남도장터</v>
      </c>
      <c r="K35" s="25">
        <f>SUMIFS('2_일일매출_입력'!$F$6:$F$305,'2_일일매출_입력'!$C$6:$C$305,J35,'2_일일매출_입력'!$B$6:$B$305,"&gt;="&amp;$F$4,'2_일일매출_입력'!$B$6:$B$305,"&lt;="&amp;$G$4)</f>
        <v>36</v>
      </c>
      <c r="L35" s="25">
        <f>SUMIFS('2_일일매출_입력'!$G$6:$G$305,'2_일일매출_입력'!$C$6:$C$305,J35,'2_일일매출_입력'!$B$6:$B$305,"&gt;="&amp;$F$4,'2_일일매출_입력'!$B$6:$B$305,"&lt;="&amp;$G$4)</f>
        <v>1540000</v>
      </c>
      <c r="M35" s="14">
        <f>IFERROR(L35/$L$38,0)</f>
        <v>0.10617028610823853</v>
      </c>
      <c r="N35" s="12">
        <f>SUMIFS('2_일일매출_입력'!$Q$6:$Q$305,'2_일일매출_입력'!$C$6:$C$305,J35,'2_일일매출_입력'!$B$6:$B$305,"&gt;="&amp;$F$4,'2_일일매출_입력'!$B$6:$B$305,"&lt;="&amp;$G$4)</f>
        <v>1301400</v>
      </c>
      <c r="O35" s="26">
        <f>IFERROR(N35/L35,0)</f>
        <v>0.8450649350649351</v>
      </c>
    </row>
    <row r="36">
      <c r="B36" s="23" t="inlineStr">
        <is>
          <t>27년 4월</t>
        </is>
      </c>
      <c r="C36" s="25">
        <f>'5_목표매출_및_공통비용'!E12</f>
        <v>9000000</v>
      </c>
      <c r="D36" s="25">
        <f>SUMIFS('2_일일매출_입력'!$G$6:$G$305,'2_일일매출_입력'!$B$6:$B$305,"&gt;="&amp;'5_목표매출_및_공통비용'!C12,'2_일일매출_입력'!$B$6:$B$305,"&lt;="&amp;'5_목표매출_및_공통비용'!D12)</f>
        <v>0</v>
      </c>
      <c r="E36" s="25">
        <f>SUMIFS('2_일일매출_입력'!$P$6:$P$305,'2_일일매출_입력'!$B$6:$B$305,"&gt;="&amp;'5_목표매출_및_공통비용'!C12,'2_일일매출_입력'!$B$6:$B$305,"&lt;="&amp;'5_목표매출_및_공통비용'!D12)</f>
        <v>0</v>
      </c>
      <c r="F36" s="12">
        <f>D36-E36</f>
        <v>0</v>
      </c>
      <c r="G36" s="26">
        <f>IFERROR(F36/D36,0)</f>
        <v>0</v>
      </c>
      <c r="H36" s="25">
        <f>SUMIFS('2_일일매출_입력'!$F$6:$F$305,'2_일일매출_입력'!$B$6:$B$305,"&gt;="&amp;'5_목표매출_및_공통비용'!C12,'2_일일매출_입력'!$B$6:$B$305,"&lt;="&amp;'5_목표매출_및_공통비용'!D12)</f>
        <v>0</v>
      </c>
      <c r="J36" s="23" t="str">
        <f>'6_사용설명서_및_기준관리'!B11</f>
        <v>로컬푸드</v>
      </c>
      <c r="K36" s="25">
        <f>SUMIFS('2_일일매출_입력'!$F$6:$F$305,'2_일일매출_입력'!$C$6:$C$305,J36,'2_일일매출_입력'!$B$6:$B$305,"&gt;="&amp;$F$4,'2_일일매출_입력'!$B$6:$B$305,"&lt;="&amp;$G$4)</f>
        <v>50</v>
      </c>
      <c r="L36" s="25">
        <f>SUMIFS('2_일일매출_입력'!$G$6:$G$305,'2_일일매출_입력'!$C$6:$C$305,J36,'2_일일매출_입력'!$B$6:$B$305,"&gt;="&amp;$F$4,'2_일일매출_입력'!$B$6:$B$305,"&lt;="&amp;$G$4)</f>
        <v>1150000</v>
      </c>
      <c r="M36" s="14">
        <f>IFERROR(L36/$L$38,0)</f>
        <v>0.07928300586004826</v>
      </c>
      <c r="N36" s="12">
        <f>SUMIFS('2_일일매출_입력'!$Q$6:$Q$305,'2_일일매출_입력'!$C$6:$C$305,J36,'2_일일매출_입력'!$B$6:$B$305,"&gt;="&amp;$F$4,'2_일일매출_입력'!$B$6:$B$305,"&lt;="&amp;$G$4)</f>
        <v>1005000</v>
      </c>
      <c r="O36" s="26">
        <f>IFERROR(N36/L36,0)</f>
        <v>0.8739130434782608</v>
      </c>
    </row>
    <row r="37">
      <c r="B37" s="23" t="inlineStr">
        <is>
          <t>27년 5월</t>
        </is>
      </c>
      <c r="C37" s="25">
        <f>'5_목표매출_및_공통비용'!E13</f>
        <v>11000000</v>
      </c>
      <c r="D37" s="25">
        <f>SUMIFS('2_일일매출_입력'!$G$6:$G$305,'2_일일매출_입력'!$B$6:$B$305,"&gt;="&amp;'5_목표매출_및_공통비용'!C13,'2_일일매출_입력'!$B$6:$B$305,"&lt;="&amp;'5_목표매출_및_공통비용'!D13)</f>
        <v>0</v>
      </c>
      <c r="E37" s="25">
        <f>SUMIFS('2_일일매출_입력'!$P$6:$P$305,'2_일일매출_입력'!$B$6:$B$305,"&gt;="&amp;'5_목표매출_및_공통비용'!C13,'2_일일매출_입력'!$B$6:$B$305,"&lt;="&amp;'5_목표매출_및_공통비용'!D13)</f>
        <v>0</v>
      </c>
      <c r="F37" s="12">
        <f>D37-E37</f>
        <v>0</v>
      </c>
      <c r="G37" s="26">
        <f>IFERROR(F37/D37,0)</f>
        <v>0</v>
      </c>
      <c r="H37" s="25">
        <f>SUMIFS('2_일일매출_입력'!$F$6:$F$305,'2_일일매출_입력'!$B$6:$B$305,"&gt;="&amp;'5_목표매출_및_공통비용'!C13,'2_일일매출_입력'!$B$6:$B$305,"&lt;="&amp;'5_목표매출_및_공통비용'!D13)</f>
        <v>0</v>
      </c>
      <c r="J37" s="23" t="str">
        <f>'6_사용설명서_및_기준관리'!B12</f>
        <v>기타</v>
      </c>
      <c r="K37" s="25">
        <f>SUMIFS('2_일일매출_입력'!$F$6:$F$305,'2_일일매출_입력'!$C$6:$C$305,J37,'2_일일매출_입력'!$B$6:$B$305,"&gt;="&amp;$F$4,'2_일일매출_입력'!$B$6:$B$305,"&lt;="&amp;$G$4)</f>
        <v>45</v>
      </c>
      <c r="L37" s="25">
        <f>SUMIFS('2_일일매출_입력'!$G$6:$G$305,'2_일일매출_입력'!$C$6:$C$305,J37,'2_일일매출_입력'!$B$6:$B$305,"&gt;="&amp;$F$4,'2_일일매출_입력'!$B$6:$B$305,"&lt;="&amp;$G$4)</f>
        <v>845000</v>
      </c>
      <c r="M37" s="14">
        <f>IFERROR(L37/$L$38,0)</f>
        <v>0.058255773871078935</v>
      </c>
      <c r="N37" s="12">
        <f>SUMIFS('2_일일매출_입력'!$Q$6:$Q$305,'2_일일매출_입력'!$C$6:$C$305,J37,'2_일일매출_입력'!$B$6:$B$305,"&gt;="&amp;$F$4,'2_일일매출_입력'!$B$6:$B$305,"&lt;="&amp;$G$4)</f>
        <v>568650</v>
      </c>
      <c r="O37" s="26">
        <f>IFERROR(N37/L37,0)</f>
        <v>0.6729585798816569</v>
      </c>
    </row>
    <row r="38">
      <c r="B38" s="23" t="inlineStr">
        <is>
          <t>27년 6월</t>
        </is>
      </c>
      <c r="C38" s="25">
        <f>'5_목표매출_및_공통비용'!E14</f>
        <v>8000000</v>
      </c>
      <c r="D38" s="25">
        <f>SUMIFS('2_일일매출_입력'!$G$6:$G$305,'2_일일매출_입력'!$B$6:$B$305,"&gt;="&amp;'5_목표매출_및_공통비용'!C14,'2_일일매출_입력'!$B$6:$B$305,"&lt;="&amp;'5_목표매출_및_공통비용'!D14)</f>
        <v>0</v>
      </c>
      <c r="E38" s="25">
        <f>SUMIFS('2_일일매출_입력'!$P$6:$P$305,'2_일일매출_입력'!$B$6:$B$305,"&gt;="&amp;'5_목표매출_및_공통비용'!C14,'2_일일매출_입력'!$B$6:$B$305,"&lt;="&amp;'5_목표매출_및_공통비용'!D14)</f>
        <v>0</v>
      </c>
      <c r="F38" s="12">
        <f>D38-E38</f>
        <v>0</v>
      </c>
      <c r="G38" s="26">
        <f>IFERROR(F38/D38,0)</f>
        <v>0</v>
      </c>
      <c r="H38" s="25">
        <f>SUMIFS('2_일일매출_입력'!$F$6:$F$305,'2_일일매출_입력'!$B$6:$B$305,"&gt;="&amp;'5_목표매출_및_공통비용'!C14,'2_일일매출_입력'!$B$6:$B$305,"&lt;="&amp;'5_목표매출_및_공통비용'!D14)</f>
        <v>0</v>
      </c>
      <c r="J38" s="16" t="inlineStr">
        <is>
          <t>합계</t>
        </is>
      </c>
      <c r="K38" s="17">
        <f>SUM(K31:K37)</f>
        <v>400</v>
      </c>
      <c r="L38" s="17">
        <f>SUM(L31:L37)</f>
        <v>14505000</v>
      </c>
      <c r="M38" s="18">
        <f>IFERROR(SUM(M31:M37),0)</f>
        <v>1</v>
      </c>
      <c r="N38" s="17">
        <f>SUM(N31:N37)</f>
        <v>12276450</v>
      </c>
      <c r="O38" s="18">
        <f>IFERROR(N38/L38,0)</f>
        <v>0.8463598759048604</v>
      </c>
    </row>
    <row r="39">
      <c r="B39" s="23" t="inlineStr">
        <is>
          <t>27년 7월</t>
        </is>
      </c>
      <c r="C39" s="25">
        <f>'5_목표매출_및_공통비용'!E15</f>
        <v>7000000</v>
      </c>
      <c r="D39" s="25">
        <f>SUMIFS('2_일일매출_입력'!$G$6:$G$305,'2_일일매출_입력'!$B$6:$B$305,"&gt;="&amp;'5_목표매출_및_공통비용'!C15,'2_일일매출_입력'!$B$6:$B$305,"&lt;="&amp;'5_목표매출_및_공통비용'!D15)</f>
        <v>0</v>
      </c>
      <c r="E39" s="25">
        <f>SUMIFS('2_일일매출_입력'!$P$6:$P$305,'2_일일매출_입력'!$B$6:$B$305,"&gt;="&amp;'5_목표매출_및_공통비용'!C15,'2_일일매출_입력'!$B$6:$B$305,"&lt;="&amp;'5_목표매출_및_공통비용'!D15)</f>
        <v>0</v>
      </c>
      <c r="F39" s="12">
        <f>D39-E39</f>
        <v>0</v>
      </c>
      <c r="G39" s="26">
        <f>IFERROR(F39/D39,0)</f>
        <v>0</v>
      </c>
      <c r="H39" s="25">
        <f>SUMIFS('2_일일매출_입력'!$F$6:$F$305,'2_일일매출_입력'!$B$6:$B$305,"&gt;="&amp;'5_목표매출_및_공통비용'!C15,'2_일일매출_입력'!$B$6:$B$305,"&lt;="&amp;'5_목표매출_및_공통비용'!D15)</f>
        <v>0</v>
      </c>
    </row>
    <row r="40">
      <c r="B40" s="23" t="inlineStr">
        <is>
          <t>27년 8월</t>
        </is>
      </c>
      <c r="C40" s="25">
        <f>'5_목표매출_및_공통비용'!E16</f>
        <v>9000000</v>
      </c>
      <c r="D40" s="25">
        <f>SUMIFS('2_일일매출_입력'!$G$6:$G$305,'2_일일매출_입력'!$B$6:$B$305,"&gt;="&amp;'5_목표매출_및_공통비용'!C16,'2_일일매출_입력'!$B$6:$B$305,"&lt;="&amp;'5_목표매출_및_공통비용'!D16)</f>
        <v>0</v>
      </c>
      <c r="E40" s="25">
        <f>SUMIFS('2_일일매출_입력'!$P$6:$P$305,'2_일일매출_입력'!$B$6:$B$305,"&gt;="&amp;'5_목표매출_및_공통비용'!C16,'2_일일매출_입력'!$B$6:$B$305,"&lt;="&amp;'5_목표매출_및_공통비용'!D16)</f>
        <v>0</v>
      </c>
      <c r="F40" s="12">
        <f>D40-E40</f>
        <v>0</v>
      </c>
      <c r="G40" s="26">
        <f>IFERROR(F40/D40,0)</f>
        <v>0</v>
      </c>
      <c r="H40" s="25">
        <f>SUMIFS('2_일일매출_입력'!$F$6:$F$305,'2_일일매출_입력'!$B$6:$B$305,"&gt;="&amp;'5_목표매출_및_공통비용'!C16,'2_일일매출_입력'!$B$6:$B$305,"&lt;="&amp;'5_목표매출_및_공통비용'!D16)</f>
        <v>0</v>
      </c>
      <c r="J40" s="4" t="inlineStr">
        <is>
          <t>구분</t>
        </is>
      </c>
      <c r="K40" s="4" t="inlineStr">
        <is>
          <t>목표매출</t>
        </is>
      </c>
      <c r="L40" s="4" t="inlineStr">
        <is>
          <t>총 매출액</t>
        </is>
      </c>
      <c r="M40" s="4" t="inlineStr">
        <is>
          <t>총 순이익</t>
        </is>
      </c>
      <c r="N40" s="4" t="inlineStr">
        <is>
          <t>최종순이익(공통비후)</t>
        </is>
      </c>
    </row>
    <row r="41">
      <c r="B41" s="23" t="inlineStr">
        <is>
          <t>27년 9월</t>
        </is>
      </c>
      <c r="C41" s="25">
        <f>'5_목표매출_및_공통비용'!E17</f>
        <v>16000000</v>
      </c>
      <c r="D41" s="25">
        <f>SUMIFS('2_일일매출_입력'!$G$6:$G$305,'2_일일매출_입력'!$B$6:$B$305,"&gt;="&amp;'5_목표매출_및_공통비용'!C17,'2_일일매출_입력'!$B$6:$B$305,"&lt;="&amp;'5_목표매출_및_공통비용'!D17)</f>
        <v>0</v>
      </c>
      <c r="E41" s="25">
        <f>SUMIFS('2_일일매출_입력'!$P$6:$P$305,'2_일일매출_입력'!$B$6:$B$305,"&gt;="&amp;'5_목표매출_및_공통비용'!C17,'2_일일매출_입력'!$B$6:$B$305,"&lt;="&amp;'5_목표매출_및_공통비용'!D17)</f>
        <v>0</v>
      </c>
      <c r="F41" s="12">
        <f>D41-E41</f>
        <v>0</v>
      </c>
      <c r="G41" s="26">
        <f>IFERROR(F41/D41,0)</f>
        <v>0</v>
      </c>
      <c r="H41" s="25">
        <f>SUMIFS('2_일일매출_입력'!$F$6:$F$305,'2_일일매출_입력'!$B$6:$B$305,"&gt;="&amp;'5_목표매출_및_공통비용'!C17,'2_일일매출_입력'!$B$6:$B$305,"&lt;="&amp;'5_목표매출_및_공통비용'!D17)</f>
        <v>0</v>
      </c>
      <c r="J41" s="23" t="inlineStr">
        <is>
          <t>전체 매출성과</t>
        </is>
      </c>
      <c r="K41" s="25">
        <f>B7</f>
        <v>12000000</v>
      </c>
      <c r="L41" s="25">
        <f>D7</f>
        <v>14505000</v>
      </c>
      <c r="M41" s="25">
        <f>L7</f>
        <v>12276450</v>
      </c>
      <c r="N41" s="25">
        <f>L9</f>
        <v>11476450</v>
      </c>
    </row>
    <row r="42">
      <c r="B42" s="23" t="inlineStr">
        <is>
          <t>27년 10월</t>
        </is>
      </c>
      <c r="C42" s="25">
        <f>'5_목표매출_및_공통비용'!E18</f>
        <v>11000000</v>
      </c>
      <c r="D42" s="25">
        <f>SUMIFS('2_일일매출_입력'!$G$6:$G$305,'2_일일매출_입력'!$B$6:$B$305,"&gt;="&amp;'5_목표매출_및_공통비용'!C18,'2_일일매출_입력'!$B$6:$B$305,"&lt;="&amp;'5_목표매출_및_공통비용'!D18)</f>
        <v>0</v>
      </c>
      <c r="E42" s="25">
        <f>SUMIFS('2_일일매출_입력'!$P$6:$P$305,'2_일일매출_입력'!$B$6:$B$305,"&gt;="&amp;'5_목표매출_및_공통비용'!C18,'2_일일매출_입력'!$B$6:$B$305,"&lt;="&amp;'5_목표매출_및_공통비용'!D18)</f>
        <v>0</v>
      </c>
      <c r="F42" s="12">
        <f>D42-E42</f>
        <v>0</v>
      </c>
      <c r="G42" s="26">
        <f>IFERROR(F42/D42,0)</f>
        <v>0</v>
      </c>
      <c r="H42" s="25">
        <f>SUMIFS('2_일일매출_입력'!$F$6:$F$305,'2_일일매출_입력'!$B$6:$B$305,"&gt;="&amp;'5_목표매출_및_공통비용'!C18,'2_일일매출_입력'!$B$6:$B$305,"&lt;="&amp;'5_목표매출_및_공통비용'!D18)</f>
        <v>0</v>
      </c>
    </row>
    <row r="43">
      <c r="B43" s="16" t="inlineStr">
        <is>
          <t>12개월 합계</t>
        </is>
      </c>
      <c r="C43" s="17">
        <f>SUM(C31:C42)</f>
        <v>140000000</v>
      </c>
      <c r="D43" s="17">
        <f>SUM(D31:D42)</f>
        <v>46805000</v>
      </c>
      <c r="E43" s="17">
        <f>SUM(E31:E42)</f>
        <v>6659450</v>
      </c>
      <c r="F43" s="17">
        <f>D43-E43</f>
        <v>40145550</v>
      </c>
      <c r="G43" s="18">
        <f>IFERROR(F43/D43,0)</f>
        <v>0.8577192607627391</v>
      </c>
      <c r="H43" s="17">
        <f>SUM(H31:H42)</f>
        <v>1150</v>
      </c>
    </row>
  </sheetData>
  <mergeCells count="32">
    <mergeCell ref="B2:I2"/>
    <mergeCell ref="J2:O2"/>
    <mergeCell ref="J3:O3"/>
    <mergeCell ref="J4:O4"/>
    <mergeCell ref="B6:C6"/>
    <mergeCell ref="B7:C7"/>
    <mergeCell ref="D6:E6"/>
    <mergeCell ref="D7:E7"/>
    <mergeCell ref="F6:G6"/>
    <mergeCell ref="F7:G7"/>
    <mergeCell ref="H6:I6"/>
    <mergeCell ref="H7:I7"/>
    <mergeCell ref="J6:K6"/>
    <mergeCell ref="J7:K7"/>
    <mergeCell ref="L6:M6"/>
    <mergeCell ref="L7:M7"/>
    <mergeCell ref="N6:O6"/>
    <mergeCell ref="N7:O7"/>
    <mergeCell ref="B8:C8"/>
    <mergeCell ref="B9:C9"/>
    <mergeCell ref="D8:E8"/>
    <mergeCell ref="D9:E9"/>
    <mergeCell ref="F8:G8"/>
    <mergeCell ref="F9:G9"/>
    <mergeCell ref="H8:I8"/>
    <mergeCell ref="H9:I9"/>
    <mergeCell ref="J8:K8"/>
    <mergeCell ref="J9:K9"/>
    <mergeCell ref="L8:M8"/>
    <mergeCell ref="L9:M9"/>
    <mergeCell ref="N8:O8"/>
    <mergeCell ref="N9:O9"/>
  </mergeCells>
  <conditionalFormatting sqref="L7:L9 F31:F43 N31:N38">
    <cfRule type="cellIs" dxfId="0" priority="1" operator="lessThan">
      <formula>0</formula>
    </cfRule>
  </conditionalFormatting>
  <conditionalFormatting sqref="H4:I4">
    <cfRule type="cellIs" dxfId="1" priority="2" operator="greaterThan">
      <formula>0</formula>
    </cfRule>
  </conditionalFormatting>
  <dataValidations count="1">
    <dataValidation type="list" allowBlank="1" showInputMessage="1" promptTitle="조회 연월 선택 (2026.11 ~ 2027.10)" prompt="조회할 연월(2026-11 ~ 2027-10) 또는 [전체]를 선택하세요." showErrorMessage="1" sqref="B4">
      <formula1>"전체,2026-11,2026-12,2027-01,2027-02,2027-03,2027-04,2027-05,2027-06,2027-07,2027-08,2027-09,2027-10"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 showGridLines="1">
      <pane ySplit="5" topLeftCell="A6" activePane="bottomLeft" state="frozen"/>
    </sheetView>
  </sheetViews>
  <sheetFormatPr defaultRowHeight="20"/>
  <cols>
    <col min="1" max="1" width="3" customWidth="1"/>
    <col min="2" max="2" width="16" customWidth="1"/>
    <col min="3" max="3" width="15" customWidth="1"/>
    <col min="4" max="6" width="14" customWidth="1"/>
    <col min="7" max="8" width="16" customWidth="1"/>
    <col min="9" max="9" width="36" customWidth="1"/>
    <col min="10" max="10" width="15" customWidth="1"/>
    <col min="11" max="11" width="13" customWidth="1"/>
    <col min="12" max="17" width="15" customWidth="1"/>
    <col min="18" max="18" width="12" customWidth="1"/>
  </cols>
  <sheetData>
    <row r="2" ht="28" customHeight="1">
      <c r="B2" s="1" t="inlineStr">
        <is>
          <t>매출·지출관리 스프레드시트(순이익/실적 자동계산) | 일일 매출·주문내역 입력</t>
        </is>
      </c>
    </row>
    <row r="3" ht="36" customHeight="1">
      <c r="B3" s="22" t="inlineStr">
        <is>
          <t>💡 [입력 안내] ① 노란색 열(매출일자, 판매채널, 10kg 미만 주문건수, 10kg 이상 주문건수, 일일 매출액, 추가비용, 비고)만 입력하세요.
② 10kg 미만과 10kg 이상 주문건수에 따라 각각 다른 택배비와 포장비(박스+포장비닐+리플렛)가 자동 계산됩니다.
③ 기본 택배비·박스·비닐·리플렛 비용은 자동 계산되므로 [추가 비용] 칸에 중복 입력하지 마세요.</t>
        </is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</row>
    <row r="4" ht="24" customHeight="1">
      <c r="B4" s="16" t="inlineStr">
        <is>
          <t>누적 합계</t>
        </is>
      </c>
      <c r="C4" s="16" t="str">
        <f>COUNTA(B6:B305)&amp;"건"</f>
        <v>23건</v>
      </c>
      <c r="D4" s="17">
        <f>SUM(D6:D305)</f>
        <v>802</v>
      </c>
      <c r="E4" s="17">
        <f>SUM(E6:E305)</f>
        <v>348</v>
      </c>
      <c r="F4" s="17">
        <f>SUM(F6:F305)</f>
        <v>1150</v>
      </c>
      <c r="G4" s="17">
        <f>SUM(G6:G305)</f>
        <v>46805000</v>
      </c>
      <c r="H4" s="17">
        <f>SUM(H6:H305)</f>
        <v>70000</v>
      </c>
      <c r="I4" s="16" t="inlineStr">
        <is>
          <t>← 매출·주문 입력 | 비용·손익 자동계산 →</t>
        </is>
      </c>
      <c r="J4" s="16" t="str">
        <f>COUNTIF(J6:J305,"비용 설정 필요")&amp;"건 누락"</f>
        <v>0건 누락</v>
      </c>
      <c r="K4" s="16" t="inlineStr">
        <is>
          <t>-</t>
        </is>
      </c>
      <c r="L4" s="17">
        <f>SUMIF(L6:L305,"&gt;=0")</f>
        <v>1842850</v>
      </c>
      <c r="M4" s="16" t="inlineStr">
        <is>
          <t>-</t>
        </is>
      </c>
      <c r="N4" s="16" t="inlineStr">
        <is>
          <t>-</t>
        </is>
      </c>
      <c r="O4" s="17">
        <f>SUMIF(O6:O305,"&gt;=0")</f>
        <v>4746600</v>
      </c>
      <c r="P4" s="17">
        <f>SUMIF(P6:P305,"&gt;=0")</f>
        <v>6659450</v>
      </c>
      <c r="Q4" s="17">
        <f>G4-P4</f>
        <v>40145550</v>
      </c>
      <c r="R4" s="18">
        <f>IFERROR(Q4/G4,0)</f>
        <v>0.8577192607627391</v>
      </c>
    </row>
    <row r="5" ht="28" customHeight="1">
      <c r="B5" s="3" t="inlineStr">
        <is>
          <t>매출일자
(달력/날짜입력)</t>
        </is>
      </c>
      <c r="C5" s="3" t="inlineStr">
        <is>
          <t>판매채널
(드롭다운)</t>
        </is>
      </c>
      <c r="D5" s="3" t="inlineStr">
        <is>
          <t>10kg 미만
주문건수(건)</t>
        </is>
      </c>
      <c r="E5" s="3" t="inlineStr">
        <is>
          <t>10kg 이상
주문건수(건)</t>
        </is>
      </c>
      <c r="F5" s="4" t="inlineStr">
        <is>
          <t>총 주문건수
(자동합산)</t>
        </is>
      </c>
      <c r="G5" s="3" t="inlineStr">
        <is>
          <t>일일 매출액
(할인반영 실매출)</t>
        </is>
      </c>
      <c r="H5" s="3" t="inlineStr">
        <is>
          <t>추가 비용
(특이발생분)</t>
        </is>
      </c>
      <c r="I5" s="3" t="inlineStr">
        <is>
          <t>비고
(메모)</t>
        </is>
      </c>
      <c r="J5" s="4" t="inlineStr">
        <is>
          <t>비용설정 상태
(자동검증)</t>
        </is>
      </c>
      <c r="K5" s="4" t="inlineStr">
        <is>
          <t>적용 수수료율
(자동조회)</t>
        </is>
      </c>
      <c r="L5" s="4" t="inlineStr">
        <is>
          <t>매출액 수수료
(자동계산)</t>
        </is>
      </c>
      <c r="M5" s="4" t="inlineStr">
        <is>
          <t>10kg 미만
1건당 비용</t>
        </is>
      </c>
      <c r="N5" s="4" t="inlineStr">
        <is>
          <t>10kg 이상
1건당 비용</t>
        </is>
      </c>
      <c r="O5" s="4" t="inlineStr">
        <is>
          <t>주문건수 비용
합계(택배+포장)</t>
        </is>
      </c>
      <c r="P5" s="4" t="inlineStr">
        <is>
          <t>총 지출(총비용)
(수수료+건수비+추가)</t>
        </is>
      </c>
      <c r="Q5" s="4" t="inlineStr">
        <is>
          <t>순이익
(매출-총비용)</t>
        </is>
      </c>
      <c r="R5" s="4" t="inlineStr">
        <is>
          <t>순이익률
(순이익÷매출)</t>
        </is>
      </c>
    </row>
    <row r="6">
      <c r="B6" s="7">
        <v>46328</v>
      </c>
      <c r="C6" s="5" t="inlineStr">
        <is>
          <t>농라</t>
        </is>
      </c>
      <c r="D6" s="8">
        <v>24</v>
      </c>
      <c r="E6" s="8">
        <v>12</v>
      </c>
      <c r="F6" s="12">
        <f>IF(AND(B6="",C6=""),"",SUM(D6:E6))</f>
        <v>36</v>
      </c>
      <c r="G6" s="8">
        <v>1480000</v>
      </c>
      <c r="H6" s="8">
        <v>0</v>
      </c>
      <c r="I6" s="6" t="inlineStr">
        <is>
          <t>[예시] 11월 첫째주 햇유자·특산물 공동구매</t>
        </is>
      </c>
      <c r="J6" s="10" t="str">
        <f>IF(AND(B6="",C6=""),"",IF(OR(B6="",C6=""),"비용 설정 필요",IF(COUNTIFS('3_채널별_비용설정'!$C$6:$C$55,C6,'3_채널별_비용설정'!$D$6:$D$55,"&lt;="&amp;B6,'3_채널별_비용설정'!$O$6:$O$55,"&gt;="&amp;B6)=0,"비용 설정 필요",IF(COUNTIFS('3_채널별_비용설정'!$C$6:$C$55,C6,'3_채널별_비용설정'!$D$6:$D$55,"&lt;="&amp;B6,'3_채널별_비용설정'!$O$6:$O$55,"&gt;="&amp;B6)&gt;1,"기간 중복 확인","정상"))))</f>
        <v>정상</v>
      </c>
      <c r="K6" s="15">
        <f>IF(J6="","",IF(J6&lt;&gt;"정상","비용 설정 필요",SUMIFS('3_채널별_비용설정'!$F$6:$F$55,'3_채널별_비용설정'!$C$6:$C$55,C6,'3_채널별_비용설정'!$D$6:$D$55,"&lt;="&amp;B6,'3_채널별_비용설정'!$O$6:$O$55,"&gt;="&amp;B6)))</f>
        <v>0</v>
      </c>
      <c r="L6" s="12">
        <f>IF(J6="","",IF(J6&lt;&gt;"정상","비용 설정 필요",ROUND(G6*K6,0)))</f>
        <v>0</v>
      </c>
      <c r="M6" s="12">
        <f>IF(J6="","",IF(J6&lt;&gt;"정상","비용 설정 필요",SUMIFS('3_채널별_비용설정'!$L$6:$L$55,'3_채널별_비용설정'!$C$6:$C$55,C6,'3_채널별_비용설정'!$D$6:$D$55,"&lt;="&amp;B6,'3_채널별_비용설정'!$O$6:$O$55,"&gt;="&amp;B6)))</f>
        <v>4400</v>
      </c>
      <c r="N6" s="12">
        <f>IF(J6="","",IF(J6&lt;&gt;"정상","비용 설정 필요",SUMIFS('3_채널별_비용설정'!$M$6:$M$55,'3_채널별_비용설정'!$C$6:$C$55,C6,'3_채널별_비용설정'!$D$6:$D$55,"&lt;="&amp;B6,'3_채널별_비용설정'!$O$6:$O$55,"&gt;="&amp;B6)))</f>
        <v>5400</v>
      </c>
      <c r="O6" s="12">
        <f>IF(J6="","",IF(J6&lt;&gt;"정상","비용 설정 필요",(D6*M6)+(E6*N6)))</f>
        <v>170400</v>
      </c>
      <c r="P6" s="12">
        <f>IF(J6="","",IF(J6&lt;&gt;"정상","비용 설정 필요",L6+O6+H6))</f>
        <v>170400</v>
      </c>
      <c r="Q6" s="13">
        <f>IF(J6="","",IF(J6&lt;&gt;"정상","비용 설정 필요",G6-P6))</f>
        <v>1309600</v>
      </c>
      <c r="R6" s="14">
        <f>IF(J6="","",IF(J6&lt;&gt;"정상","비용 설정 필요",IFERROR(Q6/G6,0)))</f>
        <v>0.8848648648648648</v>
      </c>
    </row>
    <row r="7">
      <c r="B7" s="7">
        <v>46330</v>
      </c>
      <c r="C7" s="5" t="inlineStr">
        <is>
          <t>고흥몰</t>
        </is>
      </c>
      <c r="D7" s="8">
        <v>30</v>
      </c>
      <c r="E7" s="8">
        <v>10</v>
      </c>
      <c r="F7" s="12">
        <f>IF(AND(B7="",C7=""),"",SUM(D7:E7))</f>
        <v>40</v>
      </c>
      <c r="G7" s="8">
        <v>1620000</v>
      </c>
      <c r="H7" s="8">
        <v>0</v>
      </c>
      <c r="I7" s="6" t="inlineStr">
        <is>
          <t>[예시] 고흥몰 가을 수확 기획전</t>
        </is>
      </c>
      <c r="J7" s="10" t="str">
        <f>IF(AND(B7="",C7=""),"",IF(OR(B7="",C7=""),"비용 설정 필요",IF(COUNTIFS('3_채널별_비용설정'!$C$6:$C$55,C7,'3_채널별_비용설정'!$D$6:$D$55,"&lt;="&amp;B7,'3_채널별_비용설정'!$O$6:$O$55,"&gt;="&amp;B7)=0,"비용 설정 필요",IF(COUNTIFS('3_채널별_비용설정'!$C$6:$C$55,C7,'3_채널별_비용설정'!$D$6:$D$55,"&lt;="&amp;B7,'3_채널별_비용설정'!$O$6:$O$55,"&gt;="&amp;B7)&gt;1,"기간 중복 확인","정상"))))</f>
        <v>정상</v>
      </c>
      <c r="K7" s="15">
        <f>IF(J7="","",IF(J7&lt;&gt;"정상","비용 설정 필요",SUMIFS('3_채널별_비용설정'!$F$6:$F$55,'3_채널별_비용설정'!$C$6:$C$55,C7,'3_채널별_비용설정'!$D$6:$D$55,"&lt;="&amp;B7,'3_채널별_비용설정'!$O$6:$O$55,"&gt;="&amp;B7)))</f>
        <v>0.04</v>
      </c>
      <c r="L7" s="12">
        <f>IF(J7="","",IF(J7&lt;&gt;"정상","비용 설정 필요",ROUND(G7*K7,0)))</f>
        <v>64800</v>
      </c>
      <c r="M7" s="12">
        <f>IF(J7="","",IF(J7&lt;&gt;"정상","비용 설정 필요",SUMIFS('3_채널별_비용설정'!$L$6:$L$55,'3_채널별_비용설정'!$C$6:$C$55,C7,'3_채널별_비용설정'!$D$6:$D$55,"&lt;="&amp;B7,'3_채널별_비용설정'!$O$6:$O$55,"&gt;="&amp;B7)))</f>
        <v>3900</v>
      </c>
      <c r="N7" s="12">
        <f>IF(J7="","",IF(J7&lt;&gt;"정상","비용 설정 필요",SUMIFS('3_채널별_비용설정'!$M$6:$M$55,'3_채널별_비용설정'!$C$6:$C$55,C7,'3_채널별_비용설정'!$D$6:$D$55,"&lt;="&amp;B7,'3_채널별_비용설정'!$O$6:$O$55,"&gt;="&amp;B7)))</f>
        <v>4900</v>
      </c>
      <c r="O7" s="12">
        <f>IF(J7="","",IF(J7&lt;&gt;"정상","비용 설정 필요",(D7*M7)+(E7*N7)))</f>
        <v>166000</v>
      </c>
      <c r="P7" s="12">
        <f>IF(J7="","",IF(J7&lt;&gt;"정상","비용 설정 필요",L7+O7+H7))</f>
        <v>230800</v>
      </c>
      <c r="Q7" s="13">
        <f>IF(J7="","",IF(J7&lt;&gt;"정상","비용 설정 필요",G7-P7))</f>
        <v>1389200</v>
      </c>
      <c r="R7" s="14">
        <f>IF(J7="","",IF(J7&lt;&gt;"정상","비용 설정 필요",IFERROR(Q7/G7,0)))</f>
        <v>0.8575308641975309</v>
      </c>
    </row>
    <row r="8">
      <c r="B8" s="7">
        <v>46332</v>
      </c>
      <c r="C8" s="5" t="inlineStr">
        <is>
          <t>카톡</t>
        </is>
      </c>
      <c r="D8" s="8">
        <v>18</v>
      </c>
      <c r="E8" s="8">
        <v>7</v>
      </c>
      <c r="F8" s="12">
        <f>IF(AND(B8="",C8=""),"",SUM(D8:E8))</f>
        <v>25</v>
      </c>
      <c r="G8" s="8">
        <v>980000</v>
      </c>
      <c r="H8" s="8">
        <v>0</v>
      </c>
      <c r="I8" s="6" t="inlineStr">
        <is>
          <t>[예시] 단골 고객 카톡 알림톡 주문</t>
        </is>
      </c>
      <c r="J8" s="10" t="str">
        <f>IF(AND(B8="",C8=""),"",IF(OR(B8="",C8=""),"비용 설정 필요",IF(COUNTIFS('3_채널별_비용설정'!$C$6:$C$55,C8,'3_채널별_비용설정'!$D$6:$D$55,"&lt;="&amp;B8,'3_채널별_비용설정'!$O$6:$O$55,"&gt;="&amp;B8)=0,"비용 설정 필요",IF(COUNTIFS('3_채널별_비용설정'!$C$6:$C$55,C8,'3_채널별_비용설정'!$D$6:$D$55,"&lt;="&amp;B8,'3_채널별_비용설정'!$O$6:$O$55,"&gt;="&amp;B8)&gt;1,"기간 중복 확인","정상"))))</f>
        <v>정상</v>
      </c>
      <c r="K8" s="15">
        <f>IF(J8="","",IF(J8&lt;&gt;"정상","비용 설정 필요",SUMIFS('3_채널별_비용설정'!$F$6:$F$55,'3_채널별_비용설정'!$C$6:$C$55,C8,'3_채널별_비용설정'!$D$6:$D$55,"&lt;="&amp;B8,'3_채널별_비용설정'!$O$6:$O$55,"&gt;="&amp;B8)))</f>
        <v>0.033</v>
      </c>
      <c r="L8" s="12">
        <f>IF(J8="","",IF(J8&lt;&gt;"정상","비용 설정 필요",ROUND(G8*K8,0)))</f>
        <v>32340</v>
      </c>
      <c r="M8" s="12">
        <f>IF(J8="","",IF(J8&lt;&gt;"정상","비용 설정 필요",SUMIFS('3_채널별_비용설정'!$L$6:$L$55,'3_채널별_비용설정'!$C$6:$C$55,C8,'3_채널별_비용설정'!$D$6:$D$55,"&lt;="&amp;B8,'3_채널별_비용설정'!$O$6:$O$55,"&gt;="&amp;B8)))</f>
        <v>4400</v>
      </c>
      <c r="N8" s="12">
        <f>IF(J8="","",IF(J8&lt;&gt;"정상","비용 설정 필요",SUMIFS('3_채널별_비용설정'!$M$6:$M$55,'3_채널별_비용설정'!$C$6:$C$55,C8,'3_채널별_비용설정'!$D$6:$D$55,"&lt;="&amp;B8,'3_채널별_비용설정'!$O$6:$O$55,"&gt;="&amp;B8)))</f>
        <v>5400</v>
      </c>
      <c r="O8" s="12">
        <f>IF(J8="","",IF(J8&lt;&gt;"정상","비용 설정 필요",(D8*M8)+(E8*N8)))</f>
        <v>117000</v>
      </c>
      <c r="P8" s="12">
        <f>IF(J8="","",IF(J8&lt;&gt;"정상","비용 설정 필요",L8+O8+H8))</f>
        <v>149340</v>
      </c>
      <c r="Q8" s="13">
        <f>IF(J8="","",IF(J8&lt;&gt;"정상","비용 설정 필요",G8-P8))</f>
        <v>830660</v>
      </c>
      <c r="R8" s="14">
        <f>IF(J8="","",IF(J8&lt;&gt;"정상","비용 설정 필요",IFERROR(Q8/G8,0)))</f>
        <v>0.8476122448979592</v>
      </c>
    </row>
    <row r="9">
      <c r="B9" s="7">
        <v>46334</v>
      </c>
      <c r="C9" s="5" t="inlineStr">
        <is>
          <t>남도장터</t>
        </is>
      </c>
      <c r="D9" s="8">
        <v>22</v>
      </c>
      <c r="E9" s="8">
        <v>14</v>
      </c>
      <c r="F9" s="12">
        <f>IF(AND(B9="",C9=""),"",SUM(D9:E9))</f>
        <v>36</v>
      </c>
      <c r="G9" s="8">
        <v>1540000</v>
      </c>
      <c r="H9" s="8">
        <v>0</v>
      </c>
      <c r="I9" s="6" t="inlineStr">
        <is>
          <t>[예시] 남도장터 주말 할인전</t>
        </is>
      </c>
      <c r="J9" s="10" t="str">
        <f>IF(AND(B9="",C9=""),"",IF(OR(B9="",C9=""),"비용 설정 필요",IF(COUNTIFS('3_채널별_비용설정'!$C$6:$C$55,C9,'3_채널별_비용설정'!$D$6:$D$55,"&lt;="&amp;B9,'3_채널별_비용설정'!$O$6:$O$55,"&gt;="&amp;B9)=0,"비용 설정 필요",IF(COUNTIFS('3_채널별_비용설정'!$C$6:$C$55,C9,'3_채널별_비용설정'!$D$6:$D$55,"&lt;="&amp;B9,'3_채널별_비용설정'!$O$6:$O$55,"&gt;="&amp;B9)&gt;1,"기간 중복 확인","정상"))))</f>
        <v>정상</v>
      </c>
      <c r="K9" s="15">
        <f>IF(J9="","",IF(J9&lt;&gt;"정상","비용 설정 필요",SUMIFS('3_채널별_비용설정'!$F$6:$F$55,'3_채널별_비용설정'!$C$6:$C$55,C9,'3_채널별_비용설정'!$D$6:$D$55,"&lt;="&amp;B9,'3_채널별_비용설정'!$O$6:$O$55,"&gt;="&amp;B9)))</f>
        <v>0.05</v>
      </c>
      <c r="L9" s="12">
        <f>IF(J9="","",IF(J9&lt;&gt;"정상","비용 설정 필요",ROUND(G9*K9,0)))</f>
        <v>77000</v>
      </c>
      <c r="M9" s="12">
        <f>IF(J9="","",IF(J9&lt;&gt;"정상","비용 설정 필요",SUMIFS('3_채널별_비용설정'!$L$6:$L$55,'3_채널별_비용설정'!$C$6:$C$55,C9,'3_채널별_비용설정'!$D$6:$D$55,"&lt;="&amp;B9,'3_채널별_비용설정'!$O$6:$O$55,"&gt;="&amp;B9)))</f>
        <v>4100</v>
      </c>
      <c r="N9" s="12">
        <f>IF(J9="","",IF(J9&lt;&gt;"정상","비용 설정 필요",SUMIFS('3_채널별_비용설정'!$M$6:$M$55,'3_채널별_비용설정'!$C$6:$C$55,C9,'3_채널별_비용설정'!$D$6:$D$55,"&lt;="&amp;B9,'3_채널별_비용설정'!$O$6:$O$55,"&gt;="&amp;B9)))</f>
        <v>5100</v>
      </c>
      <c r="O9" s="12">
        <f>IF(J9="","",IF(J9&lt;&gt;"정상","비용 설정 필요",(D9*M9)+(E9*N9)))</f>
        <v>161600</v>
      </c>
      <c r="P9" s="12">
        <f>IF(J9="","",IF(J9&lt;&gt;"정상","비용 설정 필요",L9+O9+H9))</f>
        <v>238600</v>
      </c>
      <c r="Q9" s="13">
        <f>IF(J9="","",IF(J9&lt;&gt;"정상","비용 설정 필요",G9-P9))</f>
        <v>1301400</v>
      </c>
      <c r="R9" s="14">
        <f>IF(J9="","",IF(J9&lt;&gt;"정상","비용 설정 필요",IFERROR(Q9/G9,0)))</f>
        <v>0.8450649350649351</v>
      </c>
    </row>
    <row r="10">
      <c r="B10" s="7">
        <v>46337</v>
      </c>
      <c r="C10" s="5" t="inlineStr">
        <is>
          <t>로컬푸드</t>
        </is>
      </c>
      <c r="D10" s="8">
        <v>45</v>
      </c>
      <c r="E10" s="8">
        <v>5</v>
      </c>
      <c r="F10" s="12">
        <f>IF(AND(B10="",C10=""),"",SUM(D10:E10))</f>
        <v>50</v>
      </c>
      <c r="G10" s="8">
        <v>1150000</v>
      </c>
      <c r="H10" s="8">
        <v>0</v>
      </c>
      <c r="I10" s="6" t="inlineStr">
        <is>
          <t>[예시] 로컬푸드 직매장 출하</t>
        </is>
      </c>
      <c r="J10" s="10" t="str">
        <f>IF(AND(B10="",C10=""),"",IF(OR(B10="",C10=""),"비용 설정 필요",IF(COUNTIFS('3_채널별_비용설정'!$C$6:$C$55,C10,'3_채널별_비용설정'!$D$6:$D$55,"&lt;="&amp;B10,'3_채널별_비용설정'!$O$6:$O$55,"&gt;="&amp;B10)=0,"비용 설정 필요",IF(COUNTIFS('3_채널별_비용설정'!$C$6:$C$55,C10,'3_채널별_비용설정'!$D$6:$D$55,"&lt;="&amp;B10,'3_채널별_비용설정'!$O$6:$O$55,"&gt;="&amp;B10)&gt;1,"기간 중복 확인","정상"))))</f>
        <v>정상</v>
      </c>
      <c r="K10" s="15">
        <f>IF(J10="","",IF(J10&lt;&gt;"정상","비용 설정 필요",SUMIFS('3_채널별_비용설정'!$F$6:$F$55,'3_채널별_비용설정'!$C$6:$C$55,C10,'3_채널별_비용설정'!$D$6:$D$55,"&lt;="&amp;B10,'3_채널별_비용설정'!$O$6:$O$55,"&gt;="&amp;B10)))</f>
        <v>0.1</v>
      </c>
      <c r="L10" s="12">
        <f>IF(J10="","",IF(J10&lt;&gt;"정상","비용 설정 필요",ROUND(G10*K10,0)))</f>
        <v>115000</v>
      </c>
      <c r="M10" s="12">
        <f>IF(J10="","",IF(J10&lt;&gt;"정상","비용 설정 필요",SUMIFS('3_채널별_비용설정'!$L$6:$L$55,'3_채널별_비용설정'!$C$6:$C$55,C10,'3_채널별_비용설정'!$D$6:$D$55,"&lt;="&amp;B10,'3_채널별_비용설정'!$O$6:$O$55,"&gt;="&amp;B10)))</f>
        <v>600</v>
      </c>
      <c r="N10" s="12">
        <f>IF(J10="","",IF(J10&lt;&gt;"정상","비용 설정 필요",SUMIFS('3_채널별_비용설정'!$M$6:$M$55,'3_채널별_비용설정'!$C$6:$C$55,C10,'3_채널별_비용설정'!$D$6:$D$55,"&lt;="&amp;B10,'3_채널별_비용설정'!$O$6:$O$55,"&gt;="&amp;B10)))</f>
        <v>600</v>
      </c>
      <c r="O10" s="12">
        <f>IF(J10="","",IF(J10&lt;&gt;"정상","비용 설정 필요",(D10*M10)+(E10*N10)))</f>
        <v>30000</v>
      </c>
      <c r="P10" s="12">
        <f>IF(J10="","",IF(J10&lt;&gt;"정상","비용 설정 필요",L10+O10+H10))</f>
        <v>145000</v>
      </c>
      <c r="Q10" s="13">
        <f>IF(J10="","",IF(J10&lt;&gt;"정상","비용 설정 필요",G10-P10))</f>
        <v>1005000</v>
      </c>
      <c r="R10" s="14">
        <f>IF(J10="","",IF(J10&lt;&gt;"정상","비용 설정 필요",IFERROR(Q10/G10,0)))</f>
        <v>0.8739130434782608</v>
      </c>
    </row>
    <row r="11">
      <c r="B11" s="7">
        <v>46340</v>
      </c>
      <c r="C11" s="5" t="inlineStr">
        <is>
          <t>스마트스토어</t>
        </is>
      </c>
      <c r="D11" s="8">
        <v>20</v>
      </c>
      <c r="E11" s="8">
        <v>10</v>
      </c>
      <c r="F11" s="12">
        <f>IF(AND(B11="",C11=""),"",SUM(D11:E11))</f>
        <v>30</v>
      </c>
      <c r="G11" s="8">
        <v>1200000</v>
      </c>
      <c r="H11" s="8">
        <v>0</v>
      </c>
      <c r="I11" s="6" t="inlineStr">
        <is>
          <t>[단가변경 전 확인] 11/15 이전: 수수료 5.5%, 미만 4,200원 / 이상 5,200원 적용</t>
        </is>
      </c>
      <c r="J11" s="10" t="str">
        <f>IF(AND(B11="",C11=""),"",IF(OR(B11="",C11=""),"비용 설정 필요",IF(COUNTIFS('3_채널별_비용설정'!$C$6:$C$55,C11,'3_채널별_비용설정'!$D$6:$D$55,"&lt;="&amp;B11,'3_채널별_비용설정'!$O$6:$O$55,"&gt;="&amp;B11)=0,"비용 설정 필요",IF(COUNTIFS('3_채널별_비용설정'!$C$6:$C$55,C11,'3_채널별_비용설정'!$D$6:$D$55,"&lt;="&amp;B11,'3_채널별_비용설정'!$O$6:$O$55,"&gt;="&amp;B11)&gt;1,"기간 중복 확인","정상"))))</f>
        <v>정상</v>
      </c>
      <c r="K11" s="15">
        <f>IF(J11="","",IF(J11&lt;&gt;"정상","비용 설정 필요",SUMIFS('3_채널별_비용설정'!$F$6:$F$55,'3_채널별_비용설정'!$C$6:$C$55,C11,'3_채널별_비용설정'!$D$6:$D$55,"&lt;="&amp;B11,'3_채널별_비용설정'!$O$6:$O$55,"&gt;="&amp;B11)))</f>
        <v>0.055</v>
      </c>
      <c r="L11" s="12">
        <f>IF(J11="","",IF(J11&lt;&gt;"정상","비용 설정 필요",ROUND(G11*K11,0)))</f>
        <v>66000</v>
      </c>
      <c r="M11" s="12">
        <f>IF(J11="","",IF(J11&lt;&gt;"정상","비용 설정 필요",SUMIFS('3_채널별_비용설정'!$L$6:$L$55,'3_채널별_비용설정'!$C$6:$C$55,C11,'3_채널별_비용설정'!$D$6:$D$55,"&lt;="&amp;B11,'3_채널별_비용설정'!$O$6:$O$55,"&gt;="&amp;B11)))</f>
        <v>4100</v>
      </c>
      <c r="N11" s="12">
        <f>IF(J11="","",IF(J11&lt;&gt;"정상","비용 설정 필요",SUMIFS('3_채널별_비용설정'!$M$6:$M$55,'3_채널별_비용설정'!$C$6:$C$55,C11,'3_채널별_비용설정'!$D$6:$D$55,"&lt;="&amp;B11,'3_채널별_비용설정'!$O$6:$O$55,"&gt;="&amp;B11)))</f>
        <v>5100</v>
      </c>
      <c r="O11" s="12">
        <f>IF(J11="","",IF(J11&lt;&gt;"정상","비용 설정 필요",(D11*M11)+(E11*N11)))</f>
        <v>133000</v>
      </c>
      <c r="P11" s="12">
        <f>IF(J11="","",IF(J11&lt;&gt;"정상","비용 설정 필요",L11+O11+H11))</f>
        <v>199000</v>
      </c>
      <c r="Q11" s="13">
        <f>IF(J11="","",IF(J11&lt;&gt;"정상","비용 설정 필요",G11-P11))</f>
        <v>1001000</v>
      </c>
      <c r="R11" s="14">
        <f>IF(J11="","",IF(J11&lt;&gt;"정상","비용 설정 필요",IFERROR(Q11/G11,0)))</f>
        <v>0.8341666666666666</v>
      </c>
    </row>
    <row r="12">
      <c r="B12" s="7">
        <v>46343</v>
      </c>
      <c r="C12" s="5" t="inlineStr">
        <is>
          <t>스마트스토어</t>
        </is>
      </c>
      <c r="D12" s="8">
        <v>20</v>
      </c>
      <c r="E12" s="8">
        <v>10</v>
      </c>
      <c r="F12" s="12">
        <f>IF(AND(B12="",C12=""),"",SUM(D12:E12))</f>
        <v>30</v>
      </c>
      <c r="G12" s="8">
        <v>1200000</v>
      </c>
      <c r="H12" s="8">
        <v>0</v>
      </c>
      <c r="I12" s="6" t="inlineStr">
        <is>
          <t>[단가변경 후 확인] 11/16 이후: 수수료 5.8%, 미만 4,600원 / 이상 5,600원 자동 적용!</t>
        </is>
      </c>
      <c r="J12" s="10" t="str">
        <f>IF(AND(B12="",C12=""),"",IF(OR(B12="",C12=""),"비용 설정 필요",IF(COUNTIFS('3_채널별_비용설정'!$C$6:$C$55,C12,'3_채널별_비용설정'!$D$6:$D$55,"&lt;="&amp;B12,'3_채널별_비용설정'!$O$6:$O$55,"&gt;="&amp;B12)=0,"비용 설정 필요",IF(COUNTIFS('3_채널별_비용설정'!$C$6:$C$55,C12,'3_채널별_비용설정'!$D$6:$D$55,"&lt;="&amp;B12,'3_채널별_비용설정'!$O$6:$O$55,"&gt;="&amp;B12)&gt;1,"기간 중복 확인","정상"))))</f>
        <v>정상</v>
      </c>
      <c r="K12" s="15">
        <f>IF(J12="","",IF(J12&lt;&gt;"정상","비용 설정 필요",SUMIFS('3_채널별_비용설정'!$F$6:$F$55,'3_채널별_비용설정'!$C$6:$C$55,C12,'3_채널별_비용설정'!$D$6:$D$55,"&lt;="&amp;B12,'3_채널별_비용설정'!$O$6:$O$55,"&gt;="&amp;B12)))</f>
        <v>0.058</v>
      </c>
      <c r="L12" s="12">
        <f>IF(J12="","",IF(J12&lt;&gt;"정상","비용 설정 필요",ROUND(G12*K12,0)))</f>
        <v>69600</v>
      </c>
      <c r="M12" s="12">
        <f>IF(J12="","",IF(J12&lt;&gt;"정상","비용 설정 필요",SUMIFS('3_채널별_비용설정'!$L$6:$L$55,'3_채널별_비용설정'!$C$6:$C$55,C12,'3_채널별_비용설정'!$D$6:$D$55,"&lt;="&amp;B12,'3_채널별_비용설정'!$O$6:$O$55,"&gt;="&amp;B12)))</f>
        <v>4500</v>
      </c>
      <c r="N12" s="12">
        <f>IF(J12="","",IF(J12&lt;&gt;"정상","비용 설정 필요",SUMIFS('3_채널별_비용설정'!$M$6:$M$55,'3_채널별_비용설정'!$C$6:$C$55,C12,'3_채널별_비용설정'!$D$6:$D$55,"&lt;="&amp;B12,'3_채널별_비용설정'!$O$6:$O$55,"&gt;="&amp;B12)))</f>
        <v>5500</v>
      </c>
      <c r="O12" s="12">
        <f>IF(J12="","",IF(J12&lt;&gt;"정상","비용 설정 필요",(D12*M12)+(E12*N12)))</f>
        <v>145000</v>
      </c>
      <c r="P12" s="12">
        <f>IF(J12="","",IF(J12&lt;&gt;"정상","비용 설정 필요",L12+O12+H12))</f>
        <v>214600</v>
      </c>
      <c r="Q12" s="13">
        <f>IF(J12="","",IF(J12&lt;&gt;"정상","비용 설정 필요",G12-P12))</f>
        <v>985400</v>
      </c>
      <c r="R12" s="14">
        <f>IF(J12="","",IF(J12&lt;&gt;"정상","비용 설정 필요",IFERROR(Q12/G12,0)))</f>
        <v>0.8211666666666667</v>
      </c>
    </row>
    <row r="13">
      <c r="B13" s="7">
        <v>46346</v>
      </c>
      <c r="C13" s="5" t="inlineStr">
        <is>
          <t>농라</t>
        </is>
      </c>
      <c r="D13" s="8">
        <v>28</v>
      </c>
      <c r="E13" s="8">
        <v>15</v>
      </c>
      <c r="F13" s="12">
        <f>IF(AND(B13="",C13=""),"",SUM(D13:E13))</f>
        <v>43</v>
      </c>
      <c r="G13" s="8">
        <v>1850000</v>
      </c>
      <c r="H13" s="8">
        <v>15000</v>
      </c>
      <c r="I13" s="6" t="inlineStr">
        <is>
          <t>[예시] 대용량 10kg 이상 주문 급증 (완충재 추가비용 반영)</t>
        </is>
      </c>
      <c r="J13" s="10" t="str">
        <f>IF(AND(B13="",C13=""),"",IF(OR(B13="",C13=""),"비용 설정 필요",IF(COUNTIFS('3_채널별_비용설정'!$C$6:$C$55,C13,'3_채널별_비용설정'!$D$6:$D$55,"&lt;="&amp;B13,'3_채널별_비용설정'!$O$6:$O$55,"&gt;="&amp;B13)=0,"비용 설정 필요",IF(COUNTIFS('3_채널별_비용설정'!$C$6:$C$55,C13,'3_채널별_비용설정'!$D$6:$D$55,"&lt;="&amp;B13,'3_채널별_비용설정'!$O$6:$O$55,"&gt;="&amp;B13)&gt;1,"기간 중복 확인","정상"))))</f>
        <v>정상</v>
      </c>
      <c r="K13" s="15">
        <f>IF(J13="","",IF(J13&lt;&gt;"정상","비용 설정 필요",SUMIFS('3_채널별_비용설정'!$F$6:$F$55,'3_채널별_비용설정'!$C$6:$C$55,C13,'3_채널별_비용설정'!$D$6:$D$55,"&lt;="&amp;B13,'3_채널별_비용설정'!$O$6:$O$55,"&gt;="&amp;B13)))</f>
        <v>0</v>
      </c>
      <c r="L13" s="12">
        <f>IF(J13="","",IF(J13&lt;&gt;"정상","비용 설정 필요",ROUND(G13*K13,0)))</f>
        <v>0</v>
      </c>
      <c r="M13" s="12">
        <f>IF(J13="","",IF(J13&lt;&gt;"정상","비용 설정 필요",SUMIFS('3_채널별_비용설정'!$L$6:$L$55,'3_채널별_비용설정'!$C$6:$C$55,C13,'3_채널별_비용설정'!$D$6:$D$55,"&lt;="&amp;B13,'3_채널별_비용설정'!$O$6:$O$55,"&gt;="&amp;B13)))</f>
        <v>4400</v>
      </c>
      <c r="N13" s="12">
        <f>IF(J13="","",IF(J13&lt;&gt;"정상","비용 설정 필요",SUMIFS('3_채널별_비용설정'!$M$6:$M$55,'3_채널별_비용설정'!$C$6:$C$55,C13,'3_채널별_비용설정'!$D$6:$D$55,"&lt;="&amp;B13,'3_채널별_비용설정'!$O$6:$O$55,"&gt;="&amp;B13)))</f>
        <v>5400</v>
      </c>
      <c r="O13" s="12">
        <f>IF(J13="","",IF(J13&lt;&gt;"정상","비용 설정 필요",(D13*M13)+(E13*N13)))</f>
        <v>204200</v>
      </c>
      <c r="P13" s="12">
        <f>IF(J13="","",IF(J13&lt;&gt;"정상","비용 설정 필요",L13+O13+H13))</f>
        <v>219200</v>
      </c>
      <c r="Q13" s="13">
        <f>IF(J13="","",IF(J13&lt;&gt;"정상","비용 설정 필요",G13-P13))</f>
        <v>1630800</v>
      </c>
      <c r="R13" s="14">
        <f>IF(J13="","",IF(J13&lt;&gt;"정상","비용 설정 필요",IFERROR(Q13/G13,0)))</f>
        <v>0.8815135135135135</v>
      </c>
    </row>
    <row r="14">
      <c r="B14" s="7">
        <v>46348</v>
      </c>
      <c r="C14" s="5" t="inlineStr">
        <is>
          <t>기타</t>
        </is>
      </c>
      <c r="D14" s="8">
        <v>12</v>
      </c>
      <c r="E14" s="8">
        <v>8</v>
      </c>
      <c r="F14" s="12">
        <f>IF(AND(B14="",C14=""),"",SUM(D14:E14))</f>
        <v>20</v>
      </c>
      <c r="G14" s="8">
        <v>750000</v>
      </c>
      <c r="H14" s="8">
        <v>0</v>
      </c>
      <c r="I14" s="6" t="inlineStr">
        <is>
          <t>[예시] 전화 주문 단체 발송</t>
        </is>
      </c>
      <c r="J14" s="10" t="str">
        <f>IF(AND(B14="",C14=""),"",IF(OR(B14="",C14=""),"비용 설정 필요",IF(COUNTIFS('3_채널별_비용설정'!$C$6:$C$55,C14,'3_채널별_비용설정'!$D$6:$D$55,"&lt;="&amp;B14,'3_채널별_비용설정'!$O$6:$O$55,"&gt;="&amp;B14)=0,"비용 설정 필요",IF(COUNTIFS('3_채널별_비용설정'!$C$6:$C$55,C14,'3_채널별_비용설정'!$D$6:$D$55,"&lt;="&amp;B14,'3_채널별_비용설정'!$O$6:$O$55,"&gt;="&amp;B14)&gt;1,"기간 중복 확인","정상"))))</f>
        <v>정상</v>
      </c>
      <c r="K14" s="15">
        <f>IF(J14="","",IF(J14&lt;&gt;"정상","비용 설정 필요",SUMIFS('3_채널별_비용설정'!$F$6:$F$55,'3_채널별_비용설정'!$C$6:$C$55,C14,'3_채널별_비용설정'!$D$6:$D$55,"&lt;="&amp;B14,'3_채널별_비용설정'!$O$6:$O$55,"&gt;="&amp;B14)))</f>
        <v>0.03</v>
      </c>
      <c r="L14" s="12">
        <f>IF(J14="","",IF(J14&lt;&gt;"정상","비용 설정 필요",ROUND(G14*K14,0)))</f>
        <v>22500</v>
      </c>
      <c r="M14" s="12">
        <f>IF(J14="","",IF(J14&lt;&gt;"정상","비용 설정 필요",SUMIFS('3_채널별_비용설정'!$L$6:$L$55,'3_채널별_비용설정'!$C$6:$C$55,C14,'3_채널별_비용설정'!$D$6:$D$55,"&lt;="&amp;B14,'3_채널별_비용설정'!$O$6:$O$55,"&gt;="&amp;B14)))</f>
        <v>4400</v>
      </c>
      <c r="N14" s="12">
        <f>IF(J14="","",IF(J14&lt;&gt;"정상","비용 설정 필요",SUMIFS('3_채널별_비용설정'!$M$6:$M$55,'3_채널별_비용설정'!$C$6:$C$55,C14,'3_채널별_비용설정'!$D$6:$D$55,"&lt;="&amp;B14,'3_채널별_비용설정'!$O$6:$O$55,"&gt;="&amp;B14)))</f>
        <v>5400</v>
      </c>
      <c r="O14" s="12">
        <f>IF(J14="","",IF(J14&lt;&gt;"정상","비용 설정 필요",(D14*M14)+(E14*N14)))</f>
        <v>96000</v>
      </c>
      <c r="P14" s="12">
        <f>IF(J14="","",IF(J14&lt;&gt;"정상","비용 설정 필요",L14+O14+H14))</f>
        <v>118500</v>
      </c>
      <c r="Q14" s="13">
        <f>IF(J14="","",IF(J14&lt;&gt;"정상","비용 설정 필요",G14-P14))</f>
        <v>631500</v>
      </c>
      <c r="R14" s="14">
        <f>IF(J14="","",IF(J14&lt;&gt;"정상","비용 설정 필요",IFERROR(Q14/G14,0)))</f>
        <v>0.842</v>
      </c>
    </row>
    <row r="15">
      <c r="B15" s="7">
        <v>46351</v>
      </c>
      <c r="C15" s="5" t="inlineStr">
        <is>
          <t>기타</t>
        </is>
      </c>
      <c r="D15" s="8">
        <v>15</v>
      </c>
      <c r="E15" s="8">
        <v>10</v>
      </c>
      <c r="F15" s="12">
        <f>IF(AND(B15="",C15=""),"",SUM(D15:E15))</f>
        <v>25</v>
      </c>
      <c r="G15" s="8">
        <v>95000</v>
      </c>
      <c r="H15" s="8">
        <v>35000</v>
      </c>
      <c r="I15" s="6" t="inlineStr">
        <is>
          <t>[적자 구분 예시] 파격 샘플행사 및 파손 재발송비로 인한 일시 적자</t>
        </is>
      </c>
      <c r="J15" s="10" t="str">
        <f>IF(AND(B15="",C15=""),"",IF(OR(B15="",C15=""),"비용 설정 필요",IF(COUNTIFS('3_채널별_비용설정'!$C$6:$C$55,C15,'3_채널별_비용설정'!$D$6:$D$55,"&lt;="&amp;B15,'3_채널별_비용설정'!$O$6:$O$55,"&gt;="&amp;B15)=0,"비용 설정 필요",IF(COUNTIFS('3_채널별_비용설정'!$C$6:$C$55,C15,'3_채널별_비용설정'!$D$6:$D$55,"&lt;="&amp;B15,'3_채널별_비용설정'!$O$6:$O$55,"&gt;="&amp;B15)&gt;1,"기간 중복 확인","정상"))))</f>
        <v>정상</v>
      </c>
      <c r="K15" s="15">
        <f>IF(J15="","",IF(J15&lt;&gt;"정상","비용 설정 필요",SUMIFS('3_채널별_비용설정'!$F$6:$F$55,'3_채널별_비용설정'!$C$6:$C$55,C15,'3_채널별_비용설정'!$D$6:$D$55,"&lt;="&amp;B15,'3_채널별_비용설정'!$O$6:$O$55,"&gt;="&amp;B15)))</f>
        <v>0.03</v>
      </c>
      <c r="L15" s="12">
        <f>IF(J15="","",IF(J15&lt;&gt;"정상","비용 설정 필요",ROUND(G15*K15,0)))</f>
        <v>2850</v>
      </c>
      <c r="M15" s="12">
        <f>IF(J15="","",IF(J15&lt;&gt;"정상","비용 설정 필요",SUMIFS('3_채널별_비용설정'!$L$6:$L$55,'3_채널별_비용설정'!$C$6:$C$55,C15,'3_채널별_비용설정'!$D$6:$D$55,"&lt;="&amp;B15,'3_채널별_비용설정'!$O$6:$O$55,"&gt;="&amp;B15)))</f>
        <v>4400</v>
      </c>
      <c r="N15" s="12">
        <f>IF(J15="","",IF(J15&lt;&gt;"정상","비용 설정 필요",SUMIFS('3_채널별_비용설정'!$M$6:$M$55,'3_채널별_비용설정'!$C$6:$C$55,C15,'3_채널별_비용설정'!$D$6:$D$55,"&lt;="&amp;B15,'3_채널별_비용설정'!$O$6:$O$55,"&gt;="&amp;B15)))</f>
        <v>5400</v>
      </c>
      <c r="O15" s="12">
        <f>IF(J15="","",IF(J15&lt;&gt;"정상","비용 설정 필요",(D15*M15)+(E15*N15)))</f>
        <v>120000</v>
      </c>
      <c r="P15" s="12">
        <f>IF(J15="","",IF(J15&lt;&gt;"정상","비용 설정 필요",L15+O15+H15))</f>
        <v>157850</v>
      </c>
      <c r="Q15" s="13">
        <f>IF(J15="","",IF(J15&lt;&gt;"정상","비용 설정 필요",G15-P15))</f>
        <v>-62850</v>
      </c>
      <c r="R15" s="14">
        <f>IF(J15="","",IF(J15&lt;&gt;"정상","비용 설정 필요",IFERROR(Q15/G15,0)))</f>
        <v>-0.661578947368421</v>
      </c>
    </row>
    <row r="16">
      <c r="B16" s="7">
        <v>46353</v>
      </c>
      <c r="C16" s="5" t="inlineStr">
        <is>
          <t>고흥몰</t>
        </is>
      </c>
      <c r="D16" s="8">
        <v>25</v>
      </c>
      <c r="E16" s="8">
        <v>12</v>
      </c>
      <c r="F16" s="12">
        <f>IF(AND(B16="",C16=""),"",SUM(D16:E16))</f>
        <v>37</v>
      </c>
      <c r="G16" s="8">
        <v>1520000</v>
      </c>
      <c r="H16" s="8">
        <v>0</v>
      </c>
      <c r="I16" s="6" t="inlineStr">
        <is>
          <t>[예시] 고흥몰 베스트 상품전</t>
        </is>
      </c>
      <c r="J16" s="10" t="str">
        <f>IF(AND(B16="",C16=""),"",IF(OR(B16="",C16=""),"비용 설정 필요",IF(COUNTIFS('3_채널별_비용설정'!$C$6:$C$55,C16,'3_채널별_비용설정'!$D$6:$D$55,"&lt;="&amp;B16,'3_채널별_비용설정'!$O$6:$O$55,"&gt;="&amp;B16)=0,"비용 설정 필요",IF(COUNTIFS('3_채널별_비용설정'!$C$6:$C$55,C16,'3_채널별_비용설정'!$D$6:$D$55,"&lt;="&amp;B16,'3_채널별_비용설정'!$O$6:$O$55,"&gt;="&amp;B16)&gt;1,"기간 중복 확인","정상"))))</f>
        <v>정상</v>
      </c>
      <c r="K16" s="15">
        <f>IF(J16="","",IF(J16&lt;&gt;"정상","비용 설정 필요",SUMIFS('3_채널별_비용설정'!$F$6:$F$55,'3_채널별_비용설정'!$C$6:$C$55,C16,'3_채널별_비용설정'!$D$6:$D$55,"&lt;="&amp;B16,'3_채널별_비용설정'!$O$6:$O$55,"&gt;="&amp;B16)))</f>
        <v>0.04</v>
      </c>
      <c r="L16" s="12">
        <f>IF(J16="","",IF(J16&lt;&gt;"정상","비용 설정 필요",ROUND(G16*K16,0)))</f>
        <v>60800</v>
      </c>
      <c r="M16" s="12">
        <f>IF(J16="","",IF(J16&lt;&gt;"정상","비용 설정 필요",SUMIFS('3_채널별_비용설정'!$L$6:$L$55,'3_채널별_비용설정'!$C$6:$C$55,C16,'3_채널별_비용설정'!$D$6:$D$55,"&lt;="&amp;B16,'3_채널별_비용설정'!$O$6:$O$55,"&gt;="&amp;B16)))</f>
        <v>3900</v>
      </c>
      <c r="N16" s="12">
        <f>IF(J16="","",IF(J16&lt;&gt;"정상","비용 설정 필요",SUMIFS('3_채널별_비용설정'!$M$6:$M$55,'3_채널별_비용설정'!$C$6:$C$55,C16,'3_채널별_비용설정'!$D$6:$D$55,"&lt;="&amp;B16,'3_채널별_비용설정'!$O$6:$O$55,"&gt;="&amp;B16)))</f>
        <v>4900</v>
      </c>
      <c r="O16" s="12">
        <f>IF(J16="","",IF(J16&lt;&gt;"정상","비용 설정 필요",(D16*M16)+(E16*N16)))</f>
        <v>156300</v>
      </c>
      <c r="P16" s="12">
        <f>IF(J16="","",IF(J16&lt;&gt;"정상","비용 설정 필요",L16+O16+H16))</f>
        <v>217100</v>
      </c>
      <c r="Q16" s="13">
        <f>IF(J16="","",IF(J16&lt;&gt;"정상","비용 설정 필요",G16-P16))</f>
        <v>1302900</v>
      </c>
      <c r="R16" s="14">
        <f>IF(J16="","",IF(J16&lt;&gt;"정상","비용 설정 필요",IFERROR(Q16/G16,0)))</f>
        <v>0.857171052631579</v>
      </c>
    </row>
    <row r="17">
      <c r="B17" s="7">
        <v>46355</v>
      </c>
      <c r="C17" s="5" t="inlineStr">
        <is>
          <t>카톡</t>
        </is>
      </c>
      <c r="D17" s="8">
        <v>20</v>
      </c>
      <c r="E17" s="8">
        <v>8</v>
      </c>
      <c r="F17" s="12">
        <f>IF(AND(B17="",C17=""),"",SUM(D17:E17))</f>
        <v>28</v>
      </c>
      <c r="G17" s="8">
        <v>1120000</v>
      </c>
      <c r="H17" s="8">
        <v>0</v>
      </c>
      <c r="I17" s="6" t="inlineStr">
        <is>
          <t>[예시] 월말 카톡 재구매 주문</t>
        </is>
      </c>
      <c r="J17" s="10" t="str">
        <f>IF(AND(B17="",C17=""),"",IF(OR(B17="",C17=""),"비용 설정 필요",IF(COUNTIFS('3_채널별_비용설정'!$C$6:$C$55,C17,'3_채널별_비용설정'!$D$6:$D$55,"&lt;="&amp;B17,'3_채널별_비용설정'!$O$6:$O$55,"&gt;="&amp;B17)=0,"비용 설정 필요",IF(COUNTIFS('3_채널별_비용설정'!$C$6:$C$55,C17,'3_채널별_비용설정'!$D$6:$D$55,"&lt;="&amp;B17,'3_채널별_비용설정'!$O$6:$O$55,"&gt;="&amp;B17)&gt;1,"기간 중복 확인","정상"))))</f>
        <v>정상</v>
      </c>
      <c r="K17" s="15">
        <f>IF(J17="","",IF(J17&lt;&gt;"정상","비용 설정 필요",SUMIFS('3_채널별_비용설정'!$F$6:$F$55,'3_채널별_비용설정'!$C$6:$C$55,C17,'3_채널별_비용설정'!$D$6:$D$55,"&lt;="&amp;B17,'3_채널별_비용설정'!$O$6:$O$55,"&gt;="&amp;B17)))</f>
        <v>0.033</v>
      </c>
      <c r="L17" s="12">
        <f>IF(J17="","",IF(J17&lt;&gt;"정상","비용 설정 필요",ROUND(G17*K17,0)))</f>
        <v>36960</v>
      </c>
      <c r="M17" s="12">
        <f>IF(J17="","",IF(J17&lt;&gt;"정상","비용 설정 필요",SUMIFS('3_채널별_비용설정'!$L$6:$L$55,'3_채널별_비용설정'!$C$6:$C$55,C17,'3_채널별_비용설정'!$D$6:$D$55,"&lt;="&amp;B17,'3_채널별_비용설정'!$O$6:$O$55,"&gt;="&amp;B17)))</f>
        <v>4400</v>
      </c>
      <c r="N17" s="12">
        <f>IF(J17="","",IF(J17&lt;&gt;"정상","비용 설정 필요",SUMIFS('3_채널별_비용설정'!$M$6:$M$55,'3_채널별_비용설정'!$C$6:$C$55,C17,'3_채널별_비용설정'!$D$6:$D$55,"&lt;="&amp;B17,'3_채널별_비용설정'!$O$6:$O$55,"&gt;="&amp;B17)))</f>
        <v>5400</v>
      </c>
      <c r="O17" s="12">
        <f>IF(J17="","",IF(J17&lt;&gt;"정상","비용 설정 필요",(D17*M17)+(E17*N17)))</f>
        <v>131200</v>
      </c>
      <c r="P17" s="12">
        <f>IF(J17="","",IF(J17&lt;&gt;"정상","비용 설정 필요",L17+O17+H17))</f>
        <v>168160</v>
      </c>
      <c r="Q17" s="13">
        <f>IF(J17="","",IF(J17&lt;&gt;"정상","비용 설정 필요",G17-P17))</f>
        <v>951840</v>
      </c>
      <c r="R17" s="14">
        <f>IF(J17="","",IF(J17&lt;&gt;"정상","비용 설정 필요",IFERROR(Q17/G17,0)))</f>
        <v>0.8498571428571429</v>
      </c>
    </row>
    <row r="18">
      <c r="B18" s="7">
        <v>46361</v>
      </c>
      <c r="C18" s="5" t="inlineStr">
        <is>
          <t>스마트스토어</t>
        </is>
      </c>
      <c r="D18" s="8">
        <v>45</v>
      </c>
      <c r="E18" s="8">
        <v>20</v>
      </c>
      <c r="F18" s="12">
        <f>IF(AND(B18="",C18=""),"",SUM(D18:E18))</f>
        <v>65</v>
      </c>
      <c r="G18" s="8">
        <v>2850000</v>
      </c>
      <c r="H18" s="8">
        <v>0</v>
      </c>
      <c r="I18" s="6" t="inlineStr">
        <is>
          <t>[예시] 연말 선물세트 주문</t>
        </is>
      </c>
      <c r="J18" s="10" t="str">
        <f>IF(AND(B18="",C18=""),"",IF(OR(B18="",C18=""),"비용 설정 필요",IF(COUNTIFS('3_채널별_비용설정'!$C$6:$C$55,C18,'3_채널별_비용설정'!$D$6:$D$55,"&lt;="&amp;B18,'3_채널별_비용설정'!$O$6:$O$55,"&gt;="&amp;B18)=0,"비용 설정 필요",IF(COUNTIFS('3_채널별_비용설정'!$C$6:$C$55,C18,'3_채널별_비용설정'!$D$6:$D$55,"&lt;="&amp;B18,'3_채널별_비용설정'!$O$6:$O$55,"&gt;="&amp;B18)&gt;1,"기간 중복 확인","정상"))))</f>
        <v>정상</v>
      </c>
      <c r="K18" s="15">
        <f>IF(J18="","",IF(J18&lt;&gt;"정상","비용 설정 필요",SUMIFS('3_채널별_비용설정'!$F$6:$F$55,'3_채널별_비용설정'!$C$6:$C$55,C18,'3_채널별_비용설정'!$D$6:$D$55,"&lt;="&amp;B18,'3_채널별_비용설정'!$O$6:$O$55,"&gt;="&amp;B18)))</f>
        <v>0.058</v>
      </c>
      <c r="L18" s="12">
        <f>IF(J18="","",IF(J18&lt;&gt;"정상","비용 설정 필요",ROUND(G18*K18,0)))</f>
        <v>165300</v>
      </c>
      <c r="M18" s="12">
        <f>IF(J18="","",IF(J18&lt;&gt;"정상","비용 설정 필요",SUMIFS('3_채널별_비용설정'!$L$6:$L$55,'3_채널별_비용설정'!$C$6:$C$55,C18,'3_채널별_비용설정'!$D$6:$D$55,"&lt;="&amp;B18,'3_채널별_비용설정'!$O$6:$O$55,"&gt;="&amp;B18)))</f>
        <v>4500</v>
      </c>
      <c r="N18" s="12">
        <f>IF(J18="","",IF(J18&lt;&gt;"정상","비용 설정 필요",SUMIFS('3_채널별_비용설정'!$M$6:$M$55,'3_채널별_비용설정'!$C$6:$C$55,C18,'3_채널별_비용설정'!$D$6:$D$55,"&lt;="&amp;B18,'3_채널별_비용설정'!$O$6:$O$55,"&gt;="&amp;B18)))</f>
        <v>5500</v>
      </c>
      <c r="O18" s="12">
        <f>IF(J18="","",IF(J18&lt;&gt;"정상","비용 설정 필요",(D18*M18)+(E18*N18)))</f>
        <v>312500</v>
      </c>
      <c r="P18" s="12">
        <f>IF(J18="","",IF(J18&lt;&gt;"정상","비용 설정 필요",L18+O18+H18))</f>
        <v>477800</v>
      </c>
      <c r="Q18" s="13">
        <f>IF(J18="","",IF(J18&lt;&gt;"정상","비용 설정 필요",G18-P18))</f>
        <v>2372200</v>
      </c>
      <c r="R18" s="14">
        <f>IF(J18="","",IF(J18&lt;&gt;"정상","비용 설정 필요",IFERROR(Q18/G18,0)))</f>
        <v>0.8323508771929825</v>
      </c>
    </row>
    <row r="19">
      <c r="B19" s="7">
        <v>46368</v>
      </c>
      <c r="C19" s="5" t="inlineStr">
        <is>
          <t>농라</t>
        </is>
      </c>
      <c r="D19" s="8">
        <v>50</v>
      </c>
      <c r="E19" s="8">
        <v>25</v>
      </c>
      <c r="F19" s="12">
        <f>IF(AND(B19="",C19=""),"",SUM(D19:E19))</f>
        <v>75</v>
      </c>
      <c r="G19" s="8">
        <v>3400000</v>
      </c>
      <c r="H19" s="8">
        <v>0</v>
      </c>
      <c r="I19" s="6" t="inlineStr">
        <is>
          <t>[예시] 겨울철 인기 특산물 공구</t>
        </is>
      </c>
      <c r="J19" s="10" t="str">
        <f>IF(AND(B19="",C19=""),"",IF(OR(B19="",C19=""),"비용 설정 필요",IF(COUNTIFS('3_채널별_비용설정'!$C$6:$C$55,C19,'3_채널별_비용설정'!$D$6:$D$55,"&lt;="&amp;B19,'3_채널별_비용설정'!$O$6:$O$55,"&gt;="&amp;B19)=0,"비용 설정 필요",IF(COUNTIFS('3_채널별_비용설정'!$C$6:$C$55,C19,'3_채널별_비용설정'!$D$6:$D$55,"&lt;="&amp;B19,'3_채널별_비용설정'!$O$6:$O$55,"&gt;="&amp;B19)&gt;1,"기간 중복 확인","정상"))))</f>
        <v>정상</v>
      </c>
      <c r="K19" s="15">
        <f>IF(J19="","",IF(J19&lt;&gt;"정상","비용 설정 필요",SUMIFS('3_채널별_비용설정'!$F$6:$F$55,'3_채널별_비용설정'!$C$6:$C$55,C19,'3_채널별_비용설정'!$D$6:$D$55,"&lt;="&amp;B19,'3_채널별_비용설정'!$O$6:$O$55,"&gt;="&amp;B19)))</f>
        <v>0</v>
      </c>
      <c r="L19" s="12">
        <f>IF(J19="","",IF(J19&lt;&gt;"정상","비용 설정 필요",ROUND(G19*K19,0)))</f>
        <v>0</v>
      </c>
      <c r="M19" s="12">
        <f>IF(J19="","",IF(J19&lt;&gt;"정상","비용 설정 필요",SUMIFS('3_채널별_비용설정'!$L$6:$L$55,'3_채널별_비용설정'!$C$6:$C$55,C19,'3_채널별_비용설정'!$D$6:$D$55,"&lt;="&amp;B19,'3_채널별_비용설정'!$O$6:$O$55,"&gt;="&amp;B19)))</f>
        <v>4400</v>
      </c>
      <c r="N19" s="12">
        <f>IF(J19="","",IF(J19&lt;&gt;"정상","비용 설정 필요",SUMIFS('3_채널별_비용설정'!$M$6:$M$55,'3_채널별_비용설정'!$C$6:$C$55,C19,'3_채널별_비용설정'!$D$6:$D$55,"&lt;="&amp;B19,'3_채널별_비용설정'!$O$6:$O$55,"&gt;="&amp;B19)))</f>
        <v>5400</v>
      </c>
      <c r="O19" s="12">
        <f>IF(J19="","",IF(J19&lt;&gt;"정상","비용 설정 필요",(D19*M19)+(E19*N19)))</f>
        <v>355000</v>
      </c>
      <c r="P19" s="12">
        <f>IF(J19="","",IF(J19&lt;&gt;"정상","비용 설정 필요",L19+O19+H19))</f>
        <v>355000</v>
      </c>
      <c r="Q19" s="13">
        <f>IF(J19="","",IF(J19&lt;&gt;"정상","비용 설정 필요",G19-P19))</f>
        <v>3045000</v>
      </c>
      <c r="R19" s="14">
        <f>IF(J19="","",IF(J19&lt;&gt;"정상","비용 설정 필요",IFERROR(Q19/G19,0)))</f>
        <v>0.8955882352941177</v>
      </c>
    </row>
    <row r="20">
      <c r="B20" s="7">
        <v>46376</v>
      </c>
      <c r="C20" s="5" t="inlineStr">
        <is>
          <t>남도장터</t>
        </is>
      </c>
      <c r="D20" s="8">
        <v>38</v>
      </c>
      <c r="E20" s="8">
        <v>18</v>
      </c>
      <c r="F20" s="12">
        <f>IF(AND(B20="",C20=""),"",SUM(D20:E20))</f>
        <v>56</v>
      </c>
      <c r="G20" s="8">
        <v>2420000</v>
      </c>
      <c r="H20" s="8">
        <v>0</v>
      </c>
      <c r="I20" s="6" t="inlineStr">
        <is>
          <t>[예시] 연말 감사 기획전</t>
        </is>
      </c>
      <c r="J20" s="10" t="str">
        <f>IF(AND(B20="",C20=""),"",IF(OR(B20="",C20=""),"비용 설정 필요",IF(COUNTIFS('3_채널별_비용설정'!$C$6:$C$55,C20,'3_채널별_비용설정'!$D$6:$D$55,"&lt;="&amp;B20,'3_채널별_비용설정'!$O$6:$O$55,"&gt;="&amp;B20)=0,"비용 설정 필요",IF(COUNTIFS('3_채널별_비용설정'!$C$6:$C$55,C20,'3_채널별_비용설정'!$D$6:$D$55,"&lt;="&amp;B20,'3_채널별_비용설정'!$O$6:$O$55,"&gt;="&amp;B20)&gt;1,"기간 중복 확인","정상"))))</f>
        <v>정상</v>
      </c>
      <c r="K20" s="15">
        <f>IF(J20="","",IF(J20&lt;&gt;"정상","비용 설정 필요",SUMIFS('3_채널별_비용설정'!$F$6:$F$55,'3_채널별_비용설정'!$C$6:$C$55,C20,'3_채널별_비용설정'!$D$6:$D$55,"&lt;="&amp;B20,'3_채널별_비용설정'!$O$6:$O$55,"&gt;="&amp;B20)))</f>
        <v>0.05</v>
      </c>
      <c r="L20" s="12">
        <f>IF(J20="","",IF(J20&lt;&gt;"정상","비용 설정 필요",ROUND(G20*K20,0)))</f>
        <v>121000</v>
      </c>
      <c r="M20" s="12">
        <f>IF(J20="","",IF(J20&lt;&gt;"정상","비용 설정 필요",SUMIFS('3_채널별_비용설정'!$L$6:$L$55,'3_채널별_비용설정'!$C$6:$C$55,C20,'3_채널별_비용설정'!$D$6:$D$55,"&lt;="&amp;B20,'3_채널별_비용설정'!$O$6:$O$55,"&gt;="&amp;B20)))</f>
        <v>4100</v>
      </c>
      <c r="N20" s="12">
        <f>IF(J20="","",IF(J20&lt;&gt;"정상","비용 설정 필요",SUMIFS('3_채널별_비용설정'!$M$6:$M$55,'3_채널별_비용설정'!$C$6:$C$55,C20,'3_채널별_비용설정'!$D$6:$D$55,"&lt;="&amp;B20,'3_채널별_비용설정'!$O$6:$O$55,"&gt;="&amp;B20)))</f>
        <v>5100</v>
      </c>
      <c r="O20" s="12">
        <f>IF(J20="","",IF(J20&lt;&gt;"정상","비용 설정 필요",(D20*M20)+(E20*N20)))</f>
        <v>247600</v>
      </c>
      <c r="P20" s="12">
        <f>IF(J20="","",IF(J20&lt;&gt;"정상","비용 설정 필요",L20+O20+H20))</f>
        <v>368600</v>
      </c>
      <c r="Q20" s="13">
        <f>IF(J20="","",IF(J20&lt;&gt;"정상","비용 설정 필요",G20-P20))</f>
        <v>2051400</v>
      </c>
      <c r="R20" s="14">
        <f>IF(J20="","",IF(J20&lt;&gt;"정상","비용 설정 필요",IFERROR(Q20/G20,0)))</f>
        <v>0.8476859504132231</v>
      </c>
    </row>
    <row r="21">
      <c r="B21" s="7">
        <v>46384</v>
      </c>
      <c r="C21" s="5" t="inlineStr">
        <is>
          <t>고흥몰</t>
        </is>
      </c>
      <c r="D21" s="8">
        <v>40</v>
      </c>
      <c r="E21" s="8">
        <v>15</v>
      </c>
      <c r="F21" s="12">
        <f>IF(AND(B21="",C21=""),"",SUM(D21:E21))</f>
        <v>55</v>
      </c>
      <c r="G21" s="8">
        <v>2380000</v>
      </c>
      <c r="H21" s="8">
        <v>0</v>
      </c>
      <c r="I21" s="6" t="inlineStr">
        <is>
          <t>[예시] 해맞이 특산품 행사</t>
        </is>
      </c>
      <c r="J21" s="10" t="str">
        <f>IF(AND(B21="",C21=""),"",IF(OR(B21="",C21=""),"비용 설정 필요",IF(COUNTIFS('3_채널별_비용설정'!$C$6:$C$55,C21,'3_채널별_비용설정'!$D$6:$D$55,"&lt;="&amp;B21,'3_채널별_비용설정'!$O$6:$O$55,"&gt;="&amp;B21)=0,"비용 설정 필요",IF(COUNTIFS('3_채널별_비용설정'!$C$6:$C$55,C21,'3_채널별_비용설정'!$D$6:$D$55,"&lt;="&amp;B21,'3_채널별_비용설정'!$O$6:$O$55,"&gt;="&amp;B21)&gt;1,"기간 중복 확인","정상"))))</f>
        <v>정상</v>
      </c>
      <c r="K21" s="15">
        <f>IF(J21="","",IF(J21&lt;&gt;"정상","비용 설정 필요",SUMIFS('3_채널별_비용설정'!$F$6:$F$55,'3_채널별_비용설정'!$C$6:$C$55,C21,'3_채널별_비용설정'!$D$6:$D$55,"&lt;="&amp;B21,'3_채널별_비용설정'!$O$6:$O$55,"&gt;="&amp;B21)))</f>
        <v>0.04</v>
      </c>
      <c r="L21" s="12">
        <f>IF(J21="","",IF(J21&lt;&gt;"정상","비용 설정 필요",ROUND(G21*K21,0)))</f>
        <v>95200</v>
      </c>
      <c r="M21" s="12">
        <f>IF(J21="","",IF(J21&lt;&gt;"정상","비용 설정 필요",SUMIFS('3_채널별_비용설정'!$L$6:$L$55,'3_채널별_비용설정'!$C$6:$C$55,C21,'3_채널별_비용설정'!$D$6:$D$55,"&lt;="&amp;B21,'3_채널별_비용설정'!$O$6:$O$55,"&gt;="&amp;B21)))</f>
        <v>3900</v>
      </c>
      <c r="N21" s="12">
        <f>IF(J21="","",IF(J21&lt;&gt;"정상","비용 설정 필요",SUMIFS('3_채널별_비용설정'!$M$6:$M$55,'3_채널별_비용설정'!$C$6:$C$55,C21,'3_채널별_비용설정'!$D$6:$D$55,"&lt;="&amp;B21,'3_채널별_비용설정'!$O$6:$O$55,"&gt;="&amp;B21)))</f>
        <v>4900</v>
      </c>
      <c r="O21" s="12">
        <f>IF(J21="","",IF(J21&lt;&gt;"정상","비용 설정 필요",(D21*M21)+(E21*N21)))</f>
        <v>229500</v>
      </c>
      <c r="P21" s="12">
        <f>IF(J21="","",IF(J21&lt;&gt;"정상","비용 설정 필요",L21+O21+H21))</f>
        <v>324700</v>
      </c>
      <c r="Q21" s="13">
        <f>IF(J21="","",IF(J21&lt;&gt;"정상","비용 설정 필요",G21-P21))</f>
        <v>2055300</v>
      </c>
      <c r="R21" s="14">
        <f>IF(J21="","",IF(J21&lt;&gt;"정상","비용 설정 필요",IFERROR(Q21/G21,0)))</f>
        <v>0.8635714285714285</v>
      </c>
    </row>
    <row r="22">
      <c r="B22" s="7">
        <v>46395</v>
      </c>
      <c r="C22" s="5" t="inlineStr">
        <is>
          <t>스마트스토어</t>
        </is>
      </c>
      <c r="D22" s="8">
        <v>55</v>
      </c>
      <c r="E22" s="8">
        <v>30</v>
      </c>
      <c r="F22" s="12">
        <f>IF(AND(B22="",C22=""),"",SUM(D22:E22))</f>
        <v>85</v>
      </c>
      <c r="G22" s="8">
        <v>3950000</v>
      </c>
      <c r="H22" s="8">
        <v>0</v>
      </c>
      <c r="I22" s="6" t="inlineStr">
        <is>
          <t>[예시] 설 명절 사전예약 1차</t>
        </is>
      </c>
      <c r="J22" s="10" t="str">
        <f>IF(AND(B22="",C22=""),"",IF(OR(B22="",C22=""),"비용 설정 필요",IF(COUNTIFS('3_채널별_비용설정'!$C$6:$C$55,C22,'3_채널별_비용설정'!$D$6:$D$55,"&lt;="&amp;B22,'3_채널별_비용설정'!$O$6:$O$55,"&gt;="&amp;B22)=0,"비용 설정 필요",IF(COUNTIFS('3_채널별_비용설정'!$C$6:$C$55,C22,'3_채널별_비용설정'!$D$6:$D$55,"&lt;="&amp;B22,'3_채널별_비용설정'!$O$6:$O$55,"&gt;="&amp;B22)&gt;1,"기간 중복 확인","정상"))))</f>
        <v>정상</v>
      </c>
      <c r="K22" s="15">
        <f>IF(J22="","",IF(J22&lt;&gt;"정상","비용 설정 필요",SUMIFS('3_채널별_비용설정'!$F$6:$F$55,'3_채널별_비용설정'!$C$6:$C$55,C22,'3_채널별_비용설정'!$D$6:$D$55,"&lt;="&amp;B22,'3_채널별_비용설정'!$O$6:$O$55,"&gt;="&amp;B22)))</f>
        <v>0.058</v>
      </c>
      <c r="L22" s="12">
        <f>IF(J22="","",IF(J22&lt;&gt;"정상","비용 설정 필요",ROUND(G22*K22,0)))</f>
        <v>229100</v>
      </c>
      <c r="M22" s="12">
        <f>IF(J22="","",IF(J22&lt;&gt;"정상","비용 설정 필요",SUMIFS('3_채널별_비용설정'!$L$6:$L$55,'3_채널별_비용설정'!$C$6:$C$55,C22,'3_채널별_비용설정'!$D$6:$D$55,"&lt;="&amp;B22,'3_채널별_비용설정'!$O$6:$O$55,"&gt;="&amp;B22)))</f>
        <v>4500</v>
      </c>
      <c r="N22" s="12">
        <f>IF(J22="","",IF(J22&lt;&gt;"정상","비용 설정 필요",SUMIFS('3_채널별_비용설정'!$M$6:$M$55,'3_채널별_비용설정'!$C$6:$C$55,C22,'3_채널별_비용설정'!$D$6:$D$55,"&lt;="&amp;B22,'3_채널별_비용설정'!$O$6:$O$55,"&gt;="&amp;B22)))</f>
        <v>5500</v>
      </c>
      <c r="O22" s="12">
        <f>IF(J22="","",IF(J22&lt;&gt;"정상","비용 설정 필요",(D22*M22)+(E22*N22)))</f>
        <v>412500</v>
      </c>
      <c r="P22" s="12">
        <f>IF(J22="","",IF(J22&lt;&gt;"정상","비용 설정 필요",L22+O22+H22))</f>
        <v>641600</v>
      </c>
      <c r="Q22" s="13">
        <f>IF(J22="","",IF(J22&lt;&gt;"정상","비용 설정 필요",G22-P22))</f>
        <v>3308400</v>
      </c>
      <c r="R22" s="14">
        <f>IF(J22="","",IF(J22&lt;&gt;"정상","비용 설정 필요",IFERROR(Q22/G22,0)))</f>
        <v>0.8375696202531645</v>
      </c>
    </row>
    <row r="23">
      <c r="B23" s="7">
        <v>46403</v>
      </c>
      <c r="C23" s="5" t="inlineStr">
        <is>
          <t>농라</t>
        </is>
      </c>
      <c r="D23" s="8">
        <v>60</v>
      </c>
      <c r="E23" s="8">
        <v>35</v>
      </c>
      <c r="F23" s="12">
        <f>IF(AND(B23="",C23=""),"",SUM(D23:E23))</f>
        <v>95</v>
      </c>
      <c r="G23" s="8">
        <v>4500000</v>
      </c>
      <c r="H23" s="8">
        <v>20000</v>
      </c>
      <c r="I23" s="6" t="inlineStr">
        <is>
          <t>[예시] 설 명절 대량주문</t>
        </is>
      </c>
      <c r="J23" s="10" t="str">
        <f>IF(AND(B23="",C23=""),"",IF(OR(B23="",C23=""),"비용 설정 필요",IF(COUNTIFS('3_채널별_비용설정'!$C$6:$C$55,C23,'3_채널별_비용설정'!$D$6:$D$55,"&lt;="&amp;B23,'3_채널별_비용설정'!$O$6:$O$55,"&gt;="&amp;B23)=0,"비용 설정 필요",IF(COUNTIFS('3_채널별_비용설정'!$C$6:$C$55,C23,'3_채널별_비용설정'!$D$6:$D$55,"&lt;="&amp;B23,'3_채널별_비용설정'!$O$6:$O$55,"&gt;="&amp;B23)&gt;1,"기간 중복 확인","정상"))))</f>
        <v>정상</v>
      </c>
      <c r="K23" s="15">
        <f>IF(J23="","",IF(J23&lt;&gt;"정상","비용 설정 필요",SUMIFS('3_채널별_비용설정'!$F$6:$F$55,'3_채널별_비용설정'!$C$6:$C$55,C23,'3_채널별_비용설정'!$D$6:$D$55,"&lt;="&amp;B23,'3_채널별_비용설정'!$O$6:$O$55,"&gt;="&amp;B23)))</f>
        <v>0</v>
      </c>
      <c r="L23" s="12">
        <f>IF(J23="","",IF(J23&lt;&gt;"정상","비용 설정 필요",ROUND(G23*K23,0)))</f>
        <v>0</v>
      </c>
      <c r="M23" s="12">
        <f>IF(J23="","",IF(J23&lt;&gt;"정상","비용 설정 필요",SUMIFS('3_채널별_비용설정'!$L$6:$L$55,'3_채널별_비용설정'!$C$6:$C$55,C23,'3_채널별_비용설정'!$D$6:$D$55,"&lt;="&amp;B23,'3_채널별_비용설정'!$O$6:$O$55,"&gt;="&amp;B23)))</f>
        <v>4400</v>
      </c>
      <c r="N23" s="12">
        <f>IF(J23="","",IF(J23&lt;&gt;"정상","비용 설정 필요",SUMIFS('3_채널별_비용설정'!$M$6:$M$55,'3_채널별_비용설정'!$C$6:$C$55,C23,'3_채널별_비용설정'!$D$6:$D$55,"&lt;="&amp;B23,'3_채널별_비용설정'!$O$6:$O$55,"&gt;="&amp;B23)))</f>
        <v>5400</v>
      </c>
      <c r="O23" s="12">
        <f>IF(J23="","",IF(J23&lt;&gt;"정상","비용 설정 필요",(D23*M23)+(E23*N23)))</f>
        <v>453000</v>
      </c>
      <c r="P23" s="12">
        <f>IF(J23="","",IF(J23&lt;&gt;"정상","비용 설정 필요",L23+O23+H23))</f>
        <v>473000</v>
      </c>
      <c r="Q23" s="13">
        <f>IF(J23="","",IF(J23&lt;&gt;"정상","비용 설정 필요",G23-P23))</f>
        <v>4027000</v>
      </c>
      <c r="R23" s="14">
        <f>IF(J23="","",IF(J23&lt;&gt;"정상","비용 설정 필요",IFERROR(Q23/G23,0)))</f>
        <v>0.8948888888888888</v>
      </c>
    </row>
    <row r="24">
      <c r="B24" s="7">
        <v>46411</v>
      </c>
      <c r="C24" s="5" t="inlineStr">
        <is>
          <t>카톡</t>
        </is>
      </c>
      <c r="D24" s="8">
        <v>42</v>
      </c>
      <c r="E24" s="8">
        <v>22</v>
      </c>
      <c r="F24" s="12">
        <f>IF(AND(B24="",C24=""),"",SUM(D24:E24))</f>
        <v>64</v>
      </c>
      <c r="G24" s="8">
        <v>2980000</v>
      </c>
      <c r="H24" s="8">
        <v>0</v>
      </c>
      <c r="I24" s="6" t="inlineStr">
        <is>
          <t>[예시] 카톡 명절 선물세트</t>
        </is>
      </c>
      <c r="J24" s="10" t="str">
        <f>IF(AND(B24="",C24=""),"",IF(OR(B24="",C24=""),"비용 설정 필요",IF(COUNTIFS('3_채널별_비용설정'!$C$6:$C$55,C24,'3_채널별_비용설정'!$D$6:$D$55,"&lt;="&amp;B24,'3_채널별_비용설정'!$O$6:$O$55,"&gt;="&amp;B24)=0,"비용 설정 필요",IF(COUNTIFS('3_채널별_비용설정'!$C$6:$C$55,C24,'3_채널별_비용설정'!$D$6:$D$55,"&lt;="&amp;B24,'3_채널별_비용설정'!$O$6:$O$55,"&gt;="&amp;B24)&gt;1,"기간 중복 확인","정상"))))</f>
        <v>정상</v>
      </c>
      <c r="K24" s="15">
        <f>IF(J24="","",IF(J24&lt;&gt;"정상","비용 설정 필요",SUMIFS('3_채널별_비용설정'!$F$6:$F$55,'3_채널별_비용설정'!$C$6:$C$55,C24,'3_채널별_비용설정'!$D$6:$D$55,"&lt;="&amp;B24,'3_채널별_비용설정'!$O$6:$O$55,"&gt;="&amp;B24)))</f>
        <v>0.033</v>
      </c>
      <c r="L24" s="12">
        <f>IF(J24="","",IF(J24&lt;&gt;"정상","비용 설정 필요",ROUND(G24*K24,0)))</f>
        <v>98340</v>
      </c>
      <c r="M24" s="12">
        <f>IF(J24="","",IF(J24&lt;&gt;"정상","비용 설정 필요",SUMIFS('3_채널별_비용설정'!$L$6:$L$55,'3_채널별_비용설정'!$C$6:$C$55,C24,'3_채널별_비용설정'!$D$6:$D$55,"&lt;="&amp;B24,'3_채널별_비용설정'!$O$6:$O$55,"&gt;="&amp;B24)))</f>
        <v>4400</v>
      </c>
      <c r="N24" s="12">
        <f>IF(J24="","",IF(J24&lt;&gt;"정상","비용 설정 필요",SUMIFS('3_채널별_비용설정'!$M$6:$M$55,'3_채널별_비용설정'!$C$6:$C$55,C24,'3_채널별_비용설정'!$D$6:$D$55,"&lt;="&amp;B24,'3_채널별_비용설정'!$O$6:$O$55,"&gt;="&amp;B24)))</f>
        <v>5400</v>
      </c>
      <c r="O24" s="12">
        <f>IF(J24="","",IF(J24&lt;&gt;"정상","비용 설정 필요",(D24*M24)+(E24*N24)))</f>
        <v>303600</v>
      </c>
      <c r="P24" s="12">
        <f>IF(J24="","",IF(J24&lt;&gt;"정상","비용 설정 필요",L24+O24+H24))</f>
        <v>401940</v>
      </c>
      <c r="Q24" s="13">
        <f>IF(J24="","",IF(J24&lt;&gt;"정상","비용 설정 필요",G24-P24))</f>
        <v>2578060</v>
      </c>
      <c r="R24" s="14">
        <f>IF(J24="","",IF(J24&lt;&gt;"정상","비용 설정 필요",IFERROR(Q24/G24,0)))</f>
        <v>0.8651208053691275</v>
      </c>
    </row>
    <row r="25">
      <c r="B25" s="7">
        <v>46416</v>
      </c>
      <c r="C25" s="5" t="inlineStr">
        <is>
          <t>로컬푸드</t>
        </is>
      </c>
      <c r="D25" s="8">
        <v>70</v>
      </c>
      <c r="E25" s="8">
        <v>15</v>
      </c>
      <c r="F25" s="12">
        <f>IF(AND(B25="",C25=""),"",SUM(D25:E25))</f>
        <v>85</v>
      </c>
      <c r="G25" s="8">
        <v>2150000</v>
      </c>
      <c r="H25" s="8">
        <v>0</v>
      </c>
      <c r="I25" s="6" t="inlineStr">
        <is>
          <t>[예시] 명절 직매장 특판</t>
        </is>
      </c>
      <c r="J25" s="10" t="str">
        <f>IF(AND(B25="",C25=""),"",IF(OR(B25="",C25=""),"비용 설정 필요",IF(COUNTIFS('3_채널별_비용설정'!$C$6:$C$55,C25,'3_채널별_비용설정'!$D$6:$D$55,"&lt;="&amp;B25,'3_채널별_비용설정'!$O$6:$O$55,"&gt;="&amp;B25)=0,"비용 설정 필요",IF(COUNTIFS('3_채널별_비용설정'!$C$6:$C$55,C25,'3_채널별_비용설정'!$D$6:$D$55,"&lt;="&amp;B25,'3_채널별_비용설정'!$O$6:$O$55,"&gt;="&amp;B25)&gt;1,"기간 중복 확인","정상"))))</f>
        <v>정상</v>
      </c>
      <c r="K25" s="15">
        <f>IF(J25="","",IF(J25&lt;&gt;"정상","비용 설정 필요",SUMIFS('3_채널별_비용설정'!$F$6:$F$55,'3_채널별_비용설정'!$C$6:$C$55,C25,'3_채널별_비용설정'!$D$6:$D$55,"&lt;="&amp;B25,'3_채널별_비용설정'!$O$6:$O$55,"&gt;="&amp;B25)))</f>
        <v>0.1</v>
      </c>
      <c r="L25" s="12">
        <f>IF(J25="","",IF(J25&lt;&gt;"정상","비용 설정 필요",ROUND(G25*K25,0)))</f>
        <v>215000</v>
      </c>
      <c r="M25" s="12">
        <f>IF(J25="","",IF(J25&lt;&gt;"정상","비용 설정 필요",SUMIFS('3_채널별_비용설정'!$L$6:$L$55,'3_채널별_비용설정'!$C$6:$C$55,C25,'3_채널별_비용설정'!$D$6:$D$55,"&lt;="&amp;B25,'3_채널별_비용설정'!$O$6:$O$55,"&gt;="&amp;B25)))</f>
        <v>600</v>
      </c>
      <c r="N25" s="12">
        <f>IF(J25="","",IF(J25&lt;&gt;"정상","비용 설정 필요",SUMIFS('3_채널별_비용설정'!$M$6:$M$55,'3_채널별_비용설정'!$C$6:$C$55,C25,'3_채널별_비용설정'!$D$6:$D$55,"&lt;="&amp;B25,'3_채널별_비용설정'!$O$6:$O$55,"&gt;="&amp;B25)))</f>
        <v>600</v>
      </c>
      <c r="O25" s="12">
        <f>IF(J25="","",IF(J25&lt;&gt;"정상","비용 설정 필요",(D25*M25)+(E25*N25)))</f>
        <v>51000</v>
      </c>
      <c r="P25" s="12">
        <f>IF(J25="","",IF(J25&lt;&gt;"정상","비용 설정 필요",L25+O25+H25))</f>
        <v>266000</v>
      </c>
      <c r="Q25" s="13">
        <f>IF(J25="","",IF(J25&lt;&gt;"정상","비용 설정 필요",G25-P25))</f>
        <v>1884000</v>
      </c>
      <c r="R25" s="14">
        <f>IF(J25="","",IF(J25&lt;&gt;"정상","비용 설정 필요",IFERROR(Q25/G25,0)))</f>
        <v>0.8762790697674419</v>
      </c>
    </row>
    <row r="26">
      <c r="B26" s="7">
        <v>46424</v>
      </c>
      <c r="C26" s="5" t="inlineStr">
        <is>
          <t>고흥몰</t>
        </is>
      </c>
      <c r="D26" s="8">
        <v>48</v>
      </c>
      <c r="E26" s="8">
        <v>20</v>
      </c>
      <c r="F26" s="12">
        <f>IF(AND(B26="",C26=""),"",SUM(D26:E26))</f>
        <v>68</v>
      </c>
      <c r="G26" s="8">
        <v>3100000</v>
      </c>
      <c r="H26" s="8">
        <v>0</v>
      </c>
      <c r="I26" s="6" t="inlineStr">
        <is>
          <t>[예시] 정월대보름 기획전</t>
        </is>
      </c>
      <c r="J26" s="10" t="str">
        <f>IF(AND(B26="",C26=""),"",IF(OR(B26="",C26=""),"비용 설정 필요",IF(COUNTIFS('3_채널별_비용설정'!$C$6:$C$55,C26,'3_채널별_비용설정'!$D$6:$D$55,"&lt;="&amp;B26,'3_채널별_비용설정'!$O$6:$O$55,"&gt;="&amp;B26)=0,"비용 설정 필요",IF(COUNTIFS('3_채널별_비용설정'!$C$6:$C$55,C26,'3_채널별_비용설정'!$D$6:$D$55,"&lt;="&amp;B26,'3_채널별_비용설정'!$O$6:$O$55,"&gt;="&amp;B26)&gt;1,"기간 중복 확인","정상"))))</f>
        <v>정상</v>
      </c>
      <c r="K26" s="15">
        <f>IF(J26="","",IF(J26&lt;&gt;"정상","비용 설정 필요",SUMIFS('3_채널별_비용설정'!$F$6:$F$55,'3_채널별_비용설정'!$C$6:$C$55,C26,'3_채널별_비용설정'!$D$6:$D$55,"&lt;="&amp;B26,'3_채널별_비용설정'!$O$6:$O$55,"&gt;="&amp;B26)))</f>
        <v>0.04</v>
      </c>
      <c r="L26" s="12">
        <f>IF(J26="","",IF(J26&lt;&gt;"정상","비용 설정 필요",ROUND(G26*K26,0)))</f>
        <v>124000</v>
      </c>
      <c r="M26" s="12">
        <f>IF(J26="","",IF(J26&lt;&gt;"정상","비용 설정 필요",SUMIFS('3_채널별_비용설정'!$L$6:$L$55,'3_채널별_비용설정'!$C$6:$C$55,C26,'3_채널별_비용설정'!$D$6:$D$55,"&lt;="&amp;B26,'3_채널별_비용설정'!$O$6:$O$55,"&gt;="&amp;B26)))</f>
        <v>3900</v>
      </c>
      <c r="N26" s="12">
        <f>IF(J26="","",IF(J26&lt;&gt;"정상","비용 설정 필요",SUMIFS('3_채널별_비용설정'!$M$6:$M$55,'3_채널별_비용설정'!$C$6:$C$55,C26,'3_채널별_비용설정'!$D$6:$D$55,"&lt;="&amp;B26,'3_채널별_비용설정'!$O$6:$O$55,"&gt;="&amp;B26)))</f>
        <v>4900</v>
      </c>
      <c r="O26" s="12">
        <f>IF(J26="","",IF(J26&lt;&gt;"정상","비용 설정 필요",(D26*M26)+(E26*N26)))</f>
        <v>285200</v>
      </c>
      <c r="P26" s="12">
        <f>IF(J26="","",IF(J26&lt;&gt;"정상","비용 설정 필요",L26+O26+H26))</f>
        <v>409200</v>
      </c>
      <c r="Q26" s="13">
        <f>IF(J26="","",IF(J26&lt;&gt;"정상","비용 설정 필요",G26-P26))</f>
        <v>2690800</v>
      </c>
      <c r="R26" s="14">
        <f>IF(J26="","",IF(J26&lt;&gt;"정상","비용 설정 필요",IFERROR(Q26/G26,0)))</f>
        <v>0.868</v>
      </c>
    </row>
    <row r="27">
      <c r="B27" s="7">
        <v>46433</v>
      </c>
      <c r="C27" s="5" t="inlineStr">
        <is>
          <t>남도장터</t>
        </is>
      </c>
      <c r="D27" s="8">
        <v>35</v>
      </c>
      <c r="E27" s="8">
        <v>15</v>
      </c>
      <c r="F27" s="12">
        <f>IF(AND(B27="",C27=""),"",SUM(D27:E27))</f>
        <v>50</v>
      </c>
      <c r="G27" s="8">
        <v>2250000</v>
      </c>
      <c r="H27" s="8">
        <v>0</v>
      </c>
      <c r="I27" s="6" t="inlineStr">
        <is>
          <t>[예시] 2월 정기 프로모션</t>
        </is>
      </c>
      <c r="J27" s="10" t="str">
        <f>IF(AND(B27="",C27=""),"",IF(OR(B27="",C27=""),"비용 설정 필요",IF(COUNTIFS('3_채널별_비용설정'!$C$6:$C$55,C27,'3_채널별_비용설정'!$D$6:$D$55,"&lt;="&amp;B27,'3_채널별_비용설정'!$O$6:$O$55,"&gt;="&amp;B27)=0,"비용 설정 필요",IF(COUNTIFS('3_채널별_비용설정'!$C$6:$C$55,C27,'3_채널별_비용설정'!$D$6:$D$55,"&lt;="&amp;B27,'3_채널별_비용설정'!$O$6:$O$55,"&gt;="&amp;B27)&gt;1,"기간 중복 확인","정상"))))</f>
        <v>정상</v>
      </c>
      <c r="K27" s="15">
        <f>IF(J27="","",IF(J27&lt;&gt;"정상","비용 설정 필요",SUMIFS('3_채널별_비용설정'!$F$6:$F$55,'3_채널별_비용설정'!$C$6:$C$55,C27,'3_채널별_비용설정'!$D$6:$D$55,"&lt;="&amp;B27,'3_채널별_비용설정'!$O$6:$O$55,"&gt;="&amp;B27)))</f>
        <v>0.05</v>
      </c>
      <c r="L27" s="12">
        <f>IF(J27="","",IF(J27&lt;&gt;"정상","비용 설정 필요",ROUND(G27*K27,0)))</f>
        <v>112500</v>
      </c>
      <c r="M27" s="12">
        <f>IF(J27="","",IF(J27&lt;&gt;"정상","비용 설정 필요",SUMIFS('3_채널별_비용설정'!$L$6:$L$55,'3_채널별_비용설정'!$C$6:$C$55,C27,'3_채널별_비용설정'!$D$6:$D$55,"&lt;="&amp;B27,'3_채널별_비용설정'!$O$6:$O$55,"&gt;="&amp;B27)))</f>
        <v>4100</v>
      </c>
      <c r="N27" s="12">
        <f>IF(J27="","",IF(J27&lt;&gt;"정상","비용 설정 필요",SUMIFS('3_채널별_비용설정'!$M$6:$M$55,'3_채널별_비용설정'!$C$6:$C$55,C27,'3_채널별_비용설정'!$D$6:$D$55,"&lt;="&amp;B27,'3_채널별_비용설정'!$O$6:$O$55,"&gt;="&amp;B27)))</f>
        <v>5100</v>
      </c>
      <c r="O27" s="12">
        <f>IF(J27="","",IF(J27&lt;&gt;"정상","비용 설정 필요",(D27*M27)+(E27*N27)))</f>
        <v>220000</v>
      </c>
      <c r="P27" s="12">
        <f>IF(J27="","",IF(J27&lt;&gt;"정상","비용 설정 필요",L27+O27+H27))</f>
        <v>332500</v>
      </c>
      <c r="Q27" s="13">
        <f>IF(J27="","",IF(J27&lt;&gt;"정상","비용 설정 필요",G27-P27))</f>
        <v>1917500</v>
      </c>
      <c r="R27" s="14">
        <f>IF(J27="","",IF(J27&lt;&gt;"정상","비용 설정 필요",IFERROR(Q27/G27,0)))</f>
        <v>0.8522222222222222</v>
      </c>
    </row>
    <row r="28">
      <c r="B28" s="7">
        <v>46441</v>
      </c>
      <c r="C28" s="5" t="inlineStr">
        <is>
          <t>스마트스토어</t>
        </is>
      </c>
      <c r="D28" s="8">
        <v>40</v>
      </c>
      <c r="E28" s="8">
        <v>12</v>
      </c>
      <c r="F28" s="12">
        <f>IF(AND(B28="",C28=""),"",SUM(D28:E28))</f>
        <v>52</v>
      </c>
      <c r="G28" s="8">
        <v>2320000</v>
      </c>
      <c r="H28" s="8">
        <v>0</v>
      </c>
      <c r="I28" s="6" t="inlineStr">
        <is>
          <t>[예시] 봄맞이 사전 특가</t>
        </is>
      </c>
      <c r="J28" s="10" t="str">
        <f>IF(AND(B28="",C28=""),"",IF(OR(B28="",C28=""),"비용 설정 필요",IF(COUNTIFS('3_채널별_비용설정'!$C$6:$C$55,C28,'3_채널별_비용설정'!$D$6:$D$55,"&lt;="&amp;B28,'3_채널별_비용설정'!$O$6:$O$55,"&gt;="&amp;B28)=0,"비용 설정 필요",IF(COUNTIFS('3_채널별_비용설정'!$C$6:$C$55,C28,'3_채널별_비용설정'!$D$6:$D$55,"&lt;="&amp;B28,'3_채널별_비용설정'!$O$6:$O$55,"&gt;="&amp;B28)&gt;1,"기간 중복 확인","정상"))))</f>
        <v>정상</v>
      </c>
      <c r="K28" s="15">
        <f>IF(J28="","",IF(J28&lt;&gt;"정상","비용 설정 필요",SUMIFS('3_채널별_비용설정'!$F$6:$F$55,'3_채널별_비용설정'!$C$6:$C$55,C28,'3_채널별_비용설정'!$D$6:$D$55,"&lt;="&amp;B28,'3_채널별_비용설정'!$O$6:$O$55,"&gt;="&amp;B28)))</f>
        <v>0.058</v>
      </c>
      <c r="L28" s="12">
        <f>IF(J28="","",IF(J28&lt;&gt;"정상","비용 설정 필요",ROUND(G28*K28,0)))</f>
        <v>134560</v>
      </c>
      <c r="M28" s="12">
        <f>IF(J28="","",IF(J28&lt;&gt;"정상","비용 설정 필요",SUMIFS('3_채널별_비용설정'!$L$6:$L$55,'3_채널별_비용설정'!$C$6:$C$55,C28,'3_채널별_비용설정'!$D$6:$D$55,"&lt;="&amp;B28,'3_채널별_비용설정'!$O$6:$O$55,"&gt;="&amp;B28)))</f>
        <v>4500</v>
      </c>
      <c r="N28" s="12">
        <f>IF(J28="","",IF(J28&lt;&gt;"정상","비용 설정 필요",SUMIFS('3_채널별_비용설정'!$M$6:$M$55,'3_채널별_비용설정'!$C$6:$C$55,C28,'3_채널별_비용설정'!$D$6:$D$55,"&lt;="&amp;B28,'3_채널별_비용설정'!$O$6:$O$55,"&gt;="&amp;B28)))</f>
        <v>5500</v>
      </c>
      <c r="O28" s="12">
        <f>IF(J28="","",IF(J28&lt;&gt;"정상","비용 설정 필요",(D28*M28)+(E28*N28)))</f>
        <v>246000</v>
      </c>
      <c r="P28" s="12">
        <f>IF(J28="","",IF(J28&lt;&gt;"정상","비용 설정 필요",L28+O28+H28))</f>
        <v>380560</v>
      </c>
      <c r="Q28" s="13">
        <f>IF(J28="","",IF(J28&lt;&gt;"정상","비용 설정 필요",G28-P28))</f>
        <v>1939440</v>
      </c>
      <c r="R28" s="14">
        <f>IF(J28="","",IF(J28&lt;&gt;"정상","비용 설정 필요",IFERROR(Q28/G28,0)))</f>
        <v>0.8359655172413794</v>
      </c>
    </row>
    <row r="29">
      <c r="B29" s="7"/>
      <c r="C29" s="5"/>
      <c r="D29" s="8"/>
      <c r="E29" s="8"/>
      <c r="F29" s="12" t="str">
        <f>IF(AND(B29="",C29=""),"",SUM(D29:E29))</f>
      </c>
      <c r="G29" s="8"/>
      <c r="H29" s="8"/>
      <c r="I29" s="6"/>
      <c r="J29" s="10" t="str">
        <f>IF(AND(B29="",C29=""),"",IF(OR(B29="",C29=""),"비용 설정 필요",IF(COUNTIFS('3_채널별_비용설정'!$C$6:$C$55,C29,'3_채널별_비용설정'!$D$6:$D$55,"&lt;="&amp;B29,'3_채널별_비용설정'!$O$6:$O$55,"&gt;="&amp;B29)=0,"비용 설정 필요",IF(COUNTIFS('3_채널별_비용설정'!$C$6:$C$55,C29,'3_채널별_비용설정'!$D$6:$D$55,"&lt;="&amp;B29,'3_채널별_비용설정'!$O$6:$O$55,"&gt;="&amp;B29)&gt;1,"기간 중복 확인","정상"))))</f>
      </c>
      <c r="K29" s="15" t="str">
        <f>IF(J29="","",IF(J29&lt;&gt;"정상","비용 설정 필요",SUMIFS('3_채널별_비용설정'!$F$6:$F$55,'3_채널별_비용설정'!$C$6:$C$55,C29,'3_채널별_비용설정'!$D$6:$D$55,"&lt;="&amp;B29,'3_채널별_비용설정'!$O$6:$O$55,"&gt;="&amp;B29)))</f>
      </c>
      <c r="L29" s="12" t="str">
        <f>IF(J29="","",IF(J29&lt;&gt;"정상","비용 설정 필요",ROUND(G29*K29,0)))</f>
      </c>
      <c r="M29" s="12" t="str">
        <f>IF(J29="","",IF(J29&lt;&gt;"정상","비용 설정 필요",SUMIFS('3_채널별_비용설정'!$L$6:$L$55,'3_채널별_비용설정'!$C$6:$C$55,C29,'3_채널별_비용설정'!$D$6:$D$55,"&lt;="&amp;B29,'3_채널별_비용설정'!$O$6:$O$55,"&gt;="&amp;B29)))</f>
      </c>
      <c r="N29" s="12" t="str">
        <f>IF(J29="","",IF(J29&lt;&gt;"정상","비용 설정 필요",SUMIFS('3_채널별_비용설정'!$M$6:$M$55,'3_채널별_비용설정'!$C$6:$C$55,C29,'3_채널별_비용설정'!$D$6:$D$55,"&lt;="&amp;B29,'3_채널별_비용설정'!$O$6:$O$55,"&gt;="&amp;B29)))</f>
      </c>
      <c r="O29" s="12" t="str">
        <f>IF(J29="","",IF(J29&lt;&gt;"정상","비용 설정 필요",(D29*M29)+(E29*N29)))</f>
      </c>
      <c r="P29" s="12" t="str">
        <f>IF(J29="","",IF(J29&lt;&gt;"정상","비용 설정 필요",L29+O29+H29))</f>
      </c>
      <c r="Q29" s="13" t="str">
        <f>IF(J29="","",IF(J29&lt;&gt;"정상","비용 설정 필요",G29-P29))</f>
      </c>
      <c r="R29" s="14" t="str">
        <f>IF(J29="","",IF(J29&lt;&gt;"정상","비용 설정 필요",IFERROR(Q29/G29,0)))</f>
      </c>
    </row>
    <row r="30">
      <c r="B30" s="7"/>
      <c r="C30" s="5"/>
      <c r="D30" s="8"/>
      <c r="E30" s="8"/>
      <c r="F30" s="12" t="str">
        <f>IF(AND(B30="",C30=""),"",SUM(D30:E30))</f>
      </c>
      <c r="G30" s="8"/>
      <c r="H30" s="8"/>
      <c r="I30" s="6"/>
      <c r="J30" s="10" t="str">
        <f>IF(AND(B30="",C30=""),"",IF(OR(B30="",C30=""),"비용 설정 필요",IF(COUNTIFS('3_채널별_비용설정'!$C$6:$C$55,C30,'3_채널별_비용설정'!$D$6:$D$55,"&lt;="&amp;B30,'3_채널별_비용설정'!$O$6:$O$55,"&gt;="&amp;B30)=0,"비용 설정 필요",IF(COUNTIFS('3_채널별_비용설정'!$C$6:$C$55,C30,'3_채널별_비용설정'!$D$6:$D$55,"&lt;="&amp;B30,'3_채널별_비용설정'!$O$6:$O$55,"&gt;="&amp;B30)&gt;1,"기간 중복 확인","정상"))))</f>
      </c>
      <c r="K30" s="15" t="str">
        <f>IF(J30="","",IF(J30&lt;&gt;"정상","비용 설정 필요",SUMIFS('3_채널별_비용설정'!$F$6:$F$55,'3_채널별_비용설정'!$C$6:$C$55,C30,'3_채널별_비용설정'!$D$6:$D$55,"&lt;="&amp;B30,'3_채널별_비용설정'!$O$6:$O$55,"&gt;="&amp;B30)))</f>
      </c>
      <c r="L30" s="12" t="str">
        <f>IF(J30="","",IF(J30&lt;&gt;"정상","비용 설정 필요",ROUND(G30*K30,0)))</f>
      </c>
      <c r="M30" s="12" t="str">
        <f>IF(J30="","",IF(J30&lt;&gt;"정상","비용 설정 필요",SUMIFS('3_채널별_비용설정'!$L$6:$L$55,'3_채널별_비용설정'!$C$6:$C$55,C30,'3_채널별_비용설정'!$D$6:$D$55,"&lt;="&amp;B30,'3_채널별_비용설정'!$O$6:$O$55,"&gt;="&amp;B30)))</f>
      </c>
      <c r="N30" s="12" t="str">
        <f>IF(J30="","",IF(J30&lt;&gt;"정상","비용 설정 필요",SUMIFS('3_채널별_비용설정'!$M$6:$M$55,'3_채널별_비용설정'!$C$6:$C$55,C30,'3_채널별_비용설정'!$D$6:$D$55,"&lt;="&amp;B30,'3_채널별_비용설정'!$O$6:$O$55,"&gt;="&amp;B30)))</f>
      </c>
      <c r="O30" s="12" t="str">
        <f>IF(J30="","",IF(J30&lt;&gt;"정상","비용 설정 필요",(D30*M30)+(E30*N30)))</f>
      </c>
      <c r="P30" s="12" t="str">
        <f>IF(J30="","",IF(J30&lt;&gt;"정상","비용 설정 필요",L30+O30+H30))</f>
      </c>
      <c r="Q30" s="13" t="str">
        <f>IF(J30="","",IF(J30&lt;&gt;"정상","비용 설정 필요",G30-P30))</f>
      </c>
      <c r="R30" s="14" t="str">
        <f>IF(J30="","",IF(J30&lt;&gt;"정상","비용 설정 필요",IFERROR(Q30/G30,0)))</f>
      </c>
    </row>
    <row r="31">
      <c r="B31" s="7"/>
      <c r="C31" s="5"/>
      <c r="D31" s="8"/>
      <c r="E31" s="8"/>
      <c r="F31" s="12" t="str">
        <f>IF(AND(B31="",C31=""),"",SUM(D31:E31))</f>
      </c>
      <c r="G31" s="8"/>
      <c r="H31" s="8"/>
      <c r="I31" s="6"/>
      <c r="J31" s="10" t="str">
        <f>IF(AND(B31="",C31=""),"",IF(OR(B31="",C31=""),"비용 설정 필요",IF(COUNTIFS('3_채널별_비용설정'!$C$6:$C$55,C31,'3_채널별_비용설정'!$D$6:$D$55,"&lt;="&amp;B31,'3_채널별_비용설정'!$O$6:$O$55,"&gt;="&amp;B31)=0,"비용 설정 필요",IF(COUNTIFS('3_채널별_비용설정'!$C$6:$C$55,C31,'3_채널별_비용설정'!$D$6:$D$55,"&lt;="&amp;B31,'3_채널별_비용설정'!$O$6:$O$55,"&gt;="&amp;B31)&gt;1,"기간 중복 확인","정상"))))</f>
      </c>
      <c r="K31" s="15" t="str">
        <f>IF(J31="","",IF(J31&lt;&gt;"정상","비용 설정 필요",SUMIFS('3_채널별_비용설정'!$F$6:$F$55,'3_채널별_비용설정'!$C$6:$C$55,C31,'3_채널별_비용설정'!$D$6:$D$55,"&lt;="&amp;B31,'3_채널별_비용설정'!$O$6:$O$55,"&gt;="&amp;B31)))</f>
      </c>
      <c r="L31" s="12" t="str">
        <f>IF(J31="","",IF(J31&lt;&gt;"정상","비용 설정 필요",ROUND(G31*K31,0)))</f>
      </c>
      <c r="M31" s="12" t="str">
        <f>IF(J31="","",IF(J31&lt;&gt;"정상","비용 설정 필요",SUMIFS('3_채널별_비용설정'!$L$6:$L$55,'3_채널별_비용설정'!$C$6:$C$55,C31,'3_채널별_비용설정'!$D$6:$D$55,"&lt;="&amp;B31,'3_채널별_비용설정'!$O$6:$O$55,"&gt;="&amp;B31)))</f>
      </c>
      <c r="N31" s="12" t="str">
        <f>IF(J31="","",IF(J31&lt;&gt;"정상","비용 설정 필요",SUMIFS('3_채널별_비용설정'!$M$6:$M$55,'3_채널별_비용설정'!$C$6:$C$55,C31,'3_채널별_비용설정'!$D$6:$D$55,"&lt;="&amp;B31,'3_채널별_비용설정'!$O$6:$O$55,"&gt;="&amp;B31)))</f>
      </c>
      <c r="O31" s="12" t="str">
        <f>IF(J31="","",IF(J31&lt;&gt;"정상","비용 설정 필요",(D31*M31)+(E31*N31)))</f>
      </c>
      <c r="P31" s="12" t="str">
        <f>IF(J31="","",IF(J31&lt;&gt;"정상","비용 설정 필요",L31+O31+H31))</f>
      </c>
      <c r="Q31" s="13" t="str">
        <f>IF(J31="","",IF(J31&lt;&gt;"정상","비용 설정 필요",G31-P31))</f>
      </c>
      <c r="R31" s="14" t="str">
        <f>IF(J31="","",IF(J31&lt;&gt;"정상","비용 설정 필요",IFERROR(Q31/G31,0)))</f>
      </c>
    </row>
    <row r="32">
      <c r="B32" s="7"/>
      <c r="C32" s="5"/>
      <c r="D32" s="8"/>
      <c r="E32" s="8"/>
      <c r="F32" s="12" t="str">
        <f>IF(AND(B32="",C32=""),"",SUM(D32:E32))</f>
      </c>
      <c r="G32" s="8"/>
      <c r="H32" s="8"/>
      <c r="I32" s="6"/>
      <c r="J32" s="10" t="str">
        <f>IF(AND(B32="",C32=""),"",IF(OR(B32="",C32=""),"비용 설정 필요",IF(COUNTIFS('3_채널별_비용설정'!$C$6:$C$55,C32,'3_채널별_비용설정'!$D$6:$D$55,"&lt;="&amp;B32,'3_채널별_비용설정'!$O$6:$O$55,"&gt;="&amp;B32)=0,"비용 설정 필요",IF(COUNTIFS('3_채널별_비용설정'!$C$6:$C$55,C32,'3_채널별_비용설정'!$D$6:$D$55,"&lt;="&amp;B32,'3_채널별_비용설정'!$O$6:$O$55,"&gt;="&amp;B32)&gt;1,"기간 중복 확인","정상"))))</f>
      </c>
      <c r="K32" s="15" t="str">
        <f>IF(J32="","",IF(J32&lt;&gt;"정상","비용 설정 필요",SUMIFS('3_채널별_비용설정'!$F$6:$F$55,'3_채널별_비용설정'!$C$6:$C$55,C32,'3_채널별_비용설정'!$D$6:$D$55,"&lt;="&amp;B32,'3_채널별_비용설정'!$O$6:$O$55,"&gt;="&amp;B32)))</f>
      </c>
      <c r="L32" s="12" t="str">
        <f>IF(J32="","",IF(J32&lt;&gt;"정상","비용 설정 필요",ROUND(G32*K32,0)))</f>
      </c>
      <c r="M32" s="12" t="str">
        <f>IF(J32="","",IF(J32&lt;&gt;"정상","비용 설정 필요",SUMIFS('3_채널별_비용설정'!$L$6:$L$55,'3_채널별_비용설정'!$C$6:$C$55,C32,'3_채널별_비용설정'!$D$6:$D$55,"&lt;="&amp;B32,'3_채널별_비용설정'!$O$6:$O$55,"&gt;="&amp;B32)))</f>
      </c>
      <c r="N32" s="12" t="str">
        <f>IF(J32="","",IF(J32&lt;&gt;"정상","비용 설정 필요",SUMIFS('3_채널별_비용설정'!$M$6:$M$55,'3_채널별_비용설정'!$C$6:$C$55,C32,'3_채널별_비용설정'!$D$6:$D$55,"&lt;="&amp;B32,'3_채널별_비용설정'!$O$6:$O$55,"&gt;="&amp;B32)))</f>
      </c>
      <c r="O32" s="12" t="str">
        <f>IF(J32="","",IF(J32&lt;&gt;"정상","비용 설정 필요",(D32*M32)+(E32*N32)))</f>
      </c>
      <c r="P32" s="12" t="str">
        <f>IF(J32="","",IF(J32&lt;&gt;"정상","비용 설정 필요",L32+O32+H32))</f>
      </c>
      <c r="Q32" s="13" t="str">
        <f>IF(J32="","",IF(J32&lt;&gt;"정상","비용 설정 필요",G32-P32))</f>
      </c>
      <c r="R32" s="14" t="str">
        <f>IF(J32="","",IF(J32&lt;&gt;"정상","비용 설정 필요",IFERROR(Q32/G32,0)))</f>
      </c>
    </row>
    <row r="33">
      <c r="B33" s="7"/>
      <c r="C33" s="5"/>
      <c r="D33" s="8"/>
      <c r="E33" s="8"/>
      <c r="F33" s="12" t="str">
        <f>IF(AND(B33="",C33=""),"",SUM(D33:E33))</f>
      </c>
      <c r="G33" s="8"/>
      <c r="H33" s="8"/>
      <c r="I33" s="6"/>
      <c r="J33" s="10" t="str">
        <f>IF(AND(B33="",C33=""),"",IF(OR(B33="",C33=""),"비용 설정 필요",IF(COUNTIFS('3_채널별_비용설정'!$C$6:$C$55,C33,'3_채널별_비용설정'!$D$6:$D$55,"&lt;="&amp;B33,'3_채널별_비용설정'!$O$6:$O$55,"&gt;="&amp;B33)=0,"비용 설정 필요",IF(COUNTIFS('3_채널별_비용설정'!$C$6:$C$55,C33,'3_채널별_비용설정'!$D$6:$D$55,"&lt;="&amp;B33,'3_채널별_비용설정'!$O$6:$O$55,"&gt;="&amp;B33)&gt;1,"기간 중복 확인","정상"))))</f>
      </c>
      <c r="K33" s="15" t="str">
        <f>IF(J33="","",IF(J33&lt;&gt;"정상","비용 설정 필요",SUMIFS('3_채널별_비용설정'!$F$6:$F$55,'3_채널별_비용설정'!$C$6:$C$55,C33,'3_채널별_비용설정'!$D$6:$D$55,"&lt;="&amp;B33,'3_채널별_비용설정'!$O$6:$O$55,"&gt;="&amp;B33)))</f>
      </c>
      <c r="L33" s="12" t="str">
        <f>IF(J33="","",IF(J33&lt;&gt;"정상","비용 설정 필요",ROUND(G33*K33,0)))</f>
      </c>
      <c r="M33" s="12" t="str">
        <f>IF(J33="","",IF(J33&lt;&gt;"정상","비용 설정 필요",SUMIFS('3_채널별_비용설정'!$L$6:$L$55,'3_채널별_비용설정'!$C$6:$C$55,C33,'3_채널별_비용설정'!$D$6:$D$55,"&lt;="&amp;B33,'3_채널별_비용설정'!$O$6:$O$55,"&gt;="&amp;B33)))</f>
      </c>
      <c r="N33" s="12" t="str">
        <f>IF(J33="","",IF(J33&lt;&gt;"정상","비용 설정 필요",SUMIFS('3_채널별_비용설정'!$M$6:$M$55,'3_채널별_비용설정'!$C$6:$C$55,C33,'3_채널별_비용설정'!$D$6:$D$55,"&lt;="&amp;B33,'3_채널별_비용설정'!$O$6:$O$55,"&gt;="&amp;B33)))</f>
      </c>
      <c r="O33" s="12" t="str">
        <f>IF(J33="","",IF(J33&lt;&gt;"정상","비용 설정 필요",(D33*M33)+(E33*N33)))</f>
      </c>
      <c r="P33" s="12" t="str">
        <f>IF(J33="","",IF(J33&lt;&gt;"정상","비용 설정 필요",L33+O33+H33))</f>
      </c>
      <c r="Q33" s="13" t="str">
        <f>IF(J33="","",IF(J33&lt;&gt;"정상","비용 설정 필요",G33-P33))</f>
      </c>
      <c r="R33" s="14" t="str">
        <f>IF(J33="","",IF(J33&lt;&gt;"정상","비용 설정 필요",IFERROR(Q33/G33,0)))</f>
      </c>
    </row>
    <row r="34">
      <c r="B34" s="7"/>
      <c r="C34" s="5"/>
      <c r="D34" s="8"/>
      <c r="E34" s="8"/>
      <c r="F34" s="12" t="str">
        <f>IF(AND(B34="",C34=""),"",SUM(D34:E34))</f>
      </c>
      <c r="G34" s="8"/>
      <c r="H34" s="8"/>
      <c r="I34" s="6"/>
      <c r="J34" s="10" t="str">
        <f>IF(AND(B34="",C34=""),"",IF(OR(B34="",C34=""),"비용 설정 필요",IF(COUNTIFS('3_채널별_비용설정'!$C$6:$C$55,C34,'3_채널별_비용설정'!$D$6:$D$55,"&lt;="&amp;B34,'3_채널별_비용설정'!$O$6:$O$55,"&gt;="&amp;B34)=0,"비용 설정 필요",IF(COUNTIFS('3_채널별_비용설정'!$C$6:$C$55,C34,'3_채널별_비용설정'!$D$6:$D$55,"&lt;="&amp;B34,'3_채널별_비용설정'!$O$6:$O$55,"&gt;="&amp;B34)&gt;1,"기간 중복 확인","정상"))))</f>
      </c>
      <c r="K34" s="15" t="str">
        <f>IF(J34="","",IF(J34&lt;&gt;"정상","비용 설정 필요",SUMIFS('3_채널별_비용설정'!$F$6:$F$55,'3_채널별_비용설정'!$C$6:$C$55,C34,'3_채널별_비용설정'!$D$6:$D$55,"&lt;="&amp;B34,'3_채널별_비용설정'!$O$6:$O$55,"&gt;="&amp;B34)))</f>
      </c>
      <c r="L34" s="12" t="str">
        <f>IF(J34="","",IF(J34&lt;&gt;"정상","비용 설정 필요",ROUND(G34*K34,0)))</f>
      </c>
      <c r="M34" s="12" t="str">
        <f>IF(J34="","",IF(J34&lt;&gt;"정상","비용 설정 필요",SUMIFS('3_채널별_비용설정'!$L$6:$L$55,'3_채널별_비용설정'!$C$6:$C$55,C34,'3_채널별_비용설정'!$D$6:$D$55,"&lt;="&amp;B34,'3_채널별_비용설정'!$O$6:$O$55,"&gt;="&amp;B34)))</f>
      </c>
      <c r="N34" s="12" t="str">
        <f>IF(J34="","",IF(J34&lt;&gt;"정상","비용 설정 필요",SUMIFS('3_채널별_비용설정'!$M$6:$M$55,'3_채널별_비용설정'!$C$6:$C$55,C34,'3_채널별_비용설정'!$D$6:$D$55,"&lt;="&amp;B34,'3_채널별_비용설정'!$O$6:$O$55,"&gt;="&amp;B34)))</f>
      </c>
      <c r="O34" s="12" t="str">
        <f>IF(J34="","",IF(J34&lt;&gt;"정상","비용 설정 필요",(D34*M34)+(E34*N34)))</f>
      </c>
      <c r="P34" s="12" t="str">
        <f>IF(J34="","",IF(J34&lt;&gt;"정상","비용 설정 필요",L34+O34+H34))</f>
      </c>
      <c r="Q34" s="13" t="str">
        <f>IF(J34="","",IF(J34&lt;&gt;"정상","비용 설정 필요",G34-P34))</f>
      </c>
      <c r="R34" s="14" t="str">
        <f>IF(J34="","",IF(J34&lt;&gt;"정상","비용 설정 필요",IFERROR(Q34/G34,0)))</f>
      </c>
    </row>
    <row r="35">
      <c r="B35" s="7"/>
      <c r="C35" s="5"/>
      <c r="D35" s="8"/>
      <c r="E35" s="8"/>
      <c r="F35" s="12" t="str">
        <f>IF(AND(B35="",C35=""),"",SUM(D35:E35))</f>
      </c>
      <c r="G35" s="8"/>
      <c r="H35" s="8"/>
      <c r="I35" s="6"/>
      <c r="J35" s="10" t="str">
        <f>IF(AND(B35="",C35=""),"",IF(OR(B35="",C35=""),"비용 설정 필요",IF(COUNTIFS('3_채널별_비용설정'!$C$6:$C$55,C35,'3_채널별_비용설정'!$D$6:$D$55,"&lt;="&amp;B35,'3_채널별_비용설정'!$O$6:$O$55,"&gt;="&amp;B35)=0,"비용 설정 필요",IF(COUNTIFS('3_채널별_비용설정'!$C$6:$C$55,C35,'3_채널별_비용설정'!$D$6:$D$55,"&lt;="&amp;B35,'3_채널별_비용설정'!$O$6:$O$55,"&gt;="&amp;B35)&gt;1,"기간 중복 확인","정상"))))</f>
      </c>
      <c r="K35" s="15" t="str">
        <f>IF(J35="","",IF(J35&lt;&gt;"정상","비용 설정 필요",SUMIFS('3_채널별_비용설정'!$F$6:$F$55,'3_채널별_비용설정'!$C$6:$C$55,C35,'3_채널별_비용설정'!$D$6:$D$55,"&lt;="&amp;B35,'3_채널별_비용설정'!$O$6:$O$55,"&gt;="&amp;B35)))</f>
      </c>
      <c r="L35" s="12" t="str">
        <f>IF(J35="","",IF(J35&lt;&gt;"정상","비용 설정 필요",ROUND(G35*K35,0)))</f>
      </c>
      <c r="M35" s="12" t="str">
        <f>IF(J35="","",IF(J35&lt;&gt;"정상","비용 설정 필요",SUMIFS('3_채널별_비용설정'!$L$6:$L$55,'3_채널별_비용설정'!$C$6:$C$55,C35,'3_채널별_비용설정'!$D$6:$D$55,"&lt;="&amp;B35,'3_채널별_비용설정'!$O$6:$O$55,"&gt;="&amp;B35)))</f>
      </c>
      <c r="N35" s="12" t="str">
        <f>IF(J35="","",IF(J35&lt;&gt;"정상","비용 설정 필요",SUMIFS('3_채널별_비용설정'!$M$6:$M$55,'3_채널별_비용설정'!$C$6:$C$55,C35,'3_채널별_비용설정'!$D$6:$D$55,"&lt;="&amp;B35,'3_채널별_비용설정'!$O$6:$O$55,"&gt;="&amp;B35)))</f>
      </c>
      <c r="O35" s="12" t="str">
        <f>IF(J35="","",IF(J35&lt;&gt;"정상","비용 설정 필요",(D35*M35)+(E35*N35)))</f>
      </c>
      <c r="P35" s="12" t="str">
        <f>IF(J35="","",IF(J35&lt;&gt;"정상","비용 설정 필요",L35+O35+H35))</f>
      </c>
      <c r="Q35" s="13" t="str">
        <f>IF(J35="","",IF(J35&lt;&gt;"정상","비용 설정 필요",G35-P35))</f>
      </c>
      <c r="R35" s="14" t="str">
        <f>IF(J35="","",IF(J35&lt;&gt;"정상","비용 설정 필요",IFERROR(Q35/G35,0)))</f>
      </c>
    </row>
    <row r="36">
      <c r="B36" s="7"/>
      <c r="C36" s="5"/>
      <c r="D36" s="8"/>
      <c r="E36" s="8"/>
      <c r="F36" s="12" t="str">
        <f>IF(AND(B36="",C36=""),"",SUM(D36:E36))</f>
      </c>
      <c r="G36" s="8"/>
      <c r="H36" s="8"/>
      <c r="I36" s="6"/>
      <c r="J36" s="10" t="str">
        <f>IF(AND(B36="",C36=""),"",IF(OR(B36="",C36=""),"비용 설정 필요",IF(COUNTIFS('3_채널별_비용설정'!$C$6:$C$55,C36,'3_채널별_비용설정'!$D$6:$D$55,"&lt;="&amp;B36,'3_채널별_비용설정'!$O$6:$O$55,"&gt;="&amp;B36)=0,"비용 설정 필요",IF(COUNTIFS('3_채널별_비용설정'!$C$6:$C$55,C36,'3_채널별_비용설정'!$D$6:$D$55,"&lt;="&amp;B36,'3_채널별_비용설정'!$O$6:$O$55,"&gt;="&amp;B36)&gt;1,"기간 중복 확인","정상"))))</f>
      </c>
      <c r="K36" s="15" t="str">
        <f>IF(J36="","",IF(J36&lt;&gt;"정상","비용 설정 필요",SUMIFS('3_채널별_비용설정'!$F$6:$F$55,'3_채널별_비용설정'!$C$6:$C$55,C36,'3_채널별_비용설정'!$D$6:$D$55,"&lt;="&amp;B36,'3_채널별_비용설정'!$O$6:$O$55,"&gt;="&amp;B36)))</f>
      </c>
      <c r="L36" s="12" t="str">
        <f>IF(J36="","",IF(J36&lt;&gt;"정상","비용 설정 필요",ROUND(G36*K36,0)))</f>
      </c>
      <c r="M36" s="12" t="str">
        <f>IF(J36="","",IF(J36&lt;&gt;"정상","비용 설정 필요",SUMIFS('3_채널별_비용설정'!$L$6:$L$55,'3_채널별_비용설정'!$C$6:$C$55,C36,'3_채널별_비용설정'!$D$6:$D$55,"&lt;="&amp;B36,'3_채널별_비용설정'!$O$6:$O$55,"&gt;="&amp;B36)))</f>
      </c>
      <c r="N36" s="12" t="str">
        <f>IF(J36="","",IF(J36&lt;&gt;"정상","비용 설정 필요",SUMIFS('3_채널별_비용설정'!$M$6:$M$55,'3_채널별_비용설정'!$C$6:$C$55,C36,'3_채널별_비용설정'!$D$6:$D$55,"&lt;="&amp;B36,'3_채널별_비용설정'!$O$6:$O$55,"&gt;="&amp;B36)))</f>
      </c>
      <c r="O36" s="12" t="str">
        <f>IF(J36="","",IF(J36&lt;&gt;"정상","비용 설정 필요",(D36*M36)+(E36*N36)))</f>
      </c>
      <c r="P36" s="12" t="str">
        <f>IF(J36="","",IF(J36&lt;&gt;"정상","비용 설정 필요",L36+O36+H36))</f>
      </c>
      <c r="Q36" s="13" t="str">
        <f>IF(J36="","",IF(J36&lt;&gt;"정상","비용 설정 필요",G36-P36))</f>
      </c>
      <c r="R36" s="14" t="str">
        <f>IF(J36="","",IF(J36&lt;&gt;"정상","비용 설정 필요",IFERROR(Q36/G36,0)))</f>
      </c>
    </row>
    <row r="37">
      <c r="B37" s="7"/>
      <c r="C37" s="5"/>
      <c r="D37" s="8"/>
      <c r="E37" s="8"/>
      <c r="F37" s="12" t="str">
        <f>IF(AND(B37="",C37=""),"",SUM(D37:E37))</f>
      </c>
      <c r="G37" s="8"/>
      <c r="H37" s="8"/>
      <c r="I37" s="6"/>
      <c r="J37" s="10" t="str">
        <f>IF(AND(B37="",C37=""),"",IF(OR(B37="",C37=""),"비용 설정 필요",IF(COUNTIFS('3_채널별_비용설정'!$C$6:$C$55,C37,'3_채널별_비용설정'!$D$6:$D$55,"&lt;="&amp;B37,'3_채널별_비용설정'!$O$6:$O$55,"&gt;="&amp;B37)=0,"비용 설정 필요",IF(COUNTIFS('3_채널별_비용설정'!$C$6:$C$55,C37,'3_채널별_비용설정'!$D$6:$D$55,"&lt;="&amp;B37,'3_채널별_비용설정'!$O$6:$O$55,"&gt;="&amp;B37)&gt;1,"기간 중복 확인","정상"))))</f>
      </c>
      <c r="K37" s="15" t="str">
        <f>IF(J37="","",IF(J37&lt;&gt;"정상","비용 설정 필요",SUMIFS('3_채널별_비용설정'!$F$6:$F$55,'3_채널별_비용설정'!$C$6:$C$55,C37,'3_채널별_비용설정'!$D$6:$D$55,"&lt;="&amp;B37,'3_채널별_비용설정'!$O$6:$O$55,"&gt;="&amp;B37)))</f>
      </c>
      <c r="L37" s="12" t="str">
        <f>IF(J37="","",IF(J37&lt;&gt;"정상","비용 설정 필요",ROUND(G37*K37,0)))</f>
      </c>
      <c r="M37" s="12" t="str">
        <f>IF(J37="","",IF(J37&lt;&gt;"정상","비용 설정 필요",SUMIFS('3_채널별_비용설정'!$L$6:$L$55,'3_채널별_비용설정'!$C$6:$C$55,C37,'3_채널별_비용설정'!$D$6:$D$55,"&lt;="&amp;B37,'3_채널별_비용설정'!$O$6:$O$55,"&gt;="&amp;B37)))</f>
      </c>
      <c r="N37" s="12" t="str">
        <f>IF(J37="","",IF(J37&lt;&gt;"정상","비용 설정 필요",SUMIFS('3_채널별_비용설정'!$M$6:$M$55,'3_채널별_비용설정'!$C$6:$C$55,C37,'3_채널별_비용설정'!$D$6:$D$55,"&lt;="&amp;B37,'3_채널별_비용설정'!$O$6:$O$55,"&gt;="&amp;B37)))</f>
      </c>
      <c r="O37" s="12" t="str">
        <f>IF(J37="","",IF(J37&lt;&gt;"정상","비용 설정 필요",(D37*M37)+(E37*N37)))</f>
      </c>
      <c r="P37" s="12" t="str">
        <f>IF(J37="","",IF(J37&lt;&gt;"정상","비용 설정 필요",L37+O37+H37))</f>
      </c>
      <c r="Q37" s="13" t="str">
        <f>IF(J37="","",IF(J37&lt;&gt;"정상","비용 설정 필요",G37-P37))</f>
      </c>
      <c r="R37" s="14" t="str">
        <f>IF(J37="","",IF(J37&lt;&gt;"정상","비용 설정 필요",IFERROR(Q37/G37,0)))</f>
      </c>
    </row>
    <row r="38">
      <c r="B38" s="7"/>
      <c r="C38" s="5"/>
      <c r="D38" s="8"/>
      <c r="E38" s="8"/>
      <c r="F38" s="12" t="str">
        <f>IF(AND(B38="",C38=""),"",SUM(D38:E38))</f>
      </c>
      <c r="G38" s="8"/>
      <c r="H38" s="8"/>
      <c r="I38" s="6"/>
      <c r="J38" s="10" t="str">
        <f>IF(AND(B38="",C38=""),"",IF(OR(B38="",C38=""),"비용 설정 필요",IF(COUNTIFS('3_채널별_비용설정'!$C$6:$C$55,C38,'3_채널별_비용설정'!$D$6:$D$55,"&lt;="&amp;B38,'3_채널별_비용설정'!$O$6:$O$55,"&gt;="&amp;B38)=0,"비용 설정 필요",IF(COUNTIFS('3_채널별_비용설정'!$C$6:$C$55,C38,'3_채널별_비용설정'!$D$6:$D$55,"&lt;="&amp;B38,'3_채널별_비용설정'!$O$6:$O$55,"&gt;="&amp;B38)&gt;1,"기간 중복 확인","정상"))))</f>
      </c>
      <c r="K38" s="15" t="str">
        <f>IF(J38="","",IF(J38&lt;&gt;"정상","비용 설정 필요",SUMIFS('3_채널별_비용설정'!$F$6:$F$55,'3_채널별_비용설정'!$C$6:$C$55,C38,'3_채널별_비용설정'!$D$6:$D$55,"&lt;="&amp;B38,'3_채널별_비용설정'!$O$6:$O$55,"&gt;="&amp;B38)))</f>
      </c>
      <c r="L38" s="12" t="str">
        <f>IF(J38="","",IF(J38&lt;&gt;"정상","비용 설정 필요",ROUND(G38*K38,0)))</f>
      </c>
      <c r="M38" s="12" t="str">
        <f>IF(J38="","",IF(J38&lt;&gt;"정상","비용 설정 필요",SUMIFS('3_채널별_비용설정'!$L$6:$L$55,'3_채널별_비용설정'!$C$6:$C$55,C38,'3_채널별_비용설정'!$D$6:$D$55,"&lt;="&amp;B38,'3_채널별_비용설정'!$O$6:$O$55,"&gt;="&amp;B38)))</f>
      </c>
      <c r="N38" s="12" t="str">
        <f>IF(J38="","",IF(J38&lt;&gt;"정상","비용 설정 필요",SUMIFS('3_채널별_비용설정'!$M$6:$M$55,'3_채널별_비용설정'!$C$6:$C$55,C38,'3_채널별_비용설정'!$D$6:$D$55,"&lt;="&amp;B38,'3_채널별_비용설정'!$O$6:$O$55,"&gt;="&amp;B38)))</f>
      </c>
      <c r="O38" s="12" t="str">
        <f>IF(J38="","",IF(J38&lt;&gt;"정상","비용 설정 필요",(D38*M38)+(E38*N38)))</f>
      </c>
      <c r="P38" s="12" t="str">
        <f>IF(J38="","",IF(J38&lt;&gt;"정상","비용 설정 필요",L38+O38+H38))</f>
      </c>
      <c r="Q38" s="13" t="str">
        <f>IF(J38="","",IF(J38&lt;&gt;"정상","비용 설정 필요",G38-P38))</f>
      </c>
      <c r="R38" s="14" t="str">
        <f>IF(J38="","",IF(J38&lt;&gt;"정상","비용 설정 필요",IFERROR(Q38/G38,0)))</f>
      </c>
    </row>
    <row r="39">
      <c r="B39" s="7"/>
      <c r="C39" s="5"/>
      <c r="D39" s="8"/>
      <c r="E39" s="8"/>
      <c r="F39" s="12" t="str">
        <f>IF(AND(B39="",C39=""),"",SUM(D39:E39))</f>
      </c>
      <c r="G39" s="8"/>
      <c r="H39" s="8"/>
      <c r="I39" s="6"/>
      <c r="J39" s="10" t="str">
        <f>IF(AND(B39="",C39=""),"",IF(OR(B39="",C39=""),"비용 설정 필요",IF(COUNTIFS('3_채널별_비용설정'!$C$6:$C$55,C39,'3_채널별_비용설정'!$D$6:$D$55,"&lt;="&amp;B39,'3_채널별_비용설정'!$O$6:$O$55,"&gt;="&amp;B39)=0,"비용 설정 필요",IF(COUNTIFS('3_채널별_비용설정'!$C$6:$C$55,C39,'3_채널별_비용설정'!$D$6:$D$55,"&lt;="&amp;B39,'3_채널별_비용설정'!$O$6:$O$55,"&gt;="&amp;B39)&gt;1,"기간 중복 확인","정상"))))</f>
      </c>
      <c r="K39" s="15" t="str">
        <f>IF(J39="","",IF(J39&lt;&gt;"정상","비용 설정 필요",SUMIFS('3_채널별_비용설정'!$F$6:$F$55,'3_채널별_비용설정'!$C$6:$C$55,C39,'3_채널별_비용설정'!$D$6:$D$55,"&lt;="&amp;B39,'3_채널별_비용설정'!$O$6:$O$55,"&gt;="&amp;B39)))</f>
      </c>
      <c r="L39" s="12" t="str">
        <f>IF(J39="","",IF(J39&lt;&gt;"정상","비용 설정 필요",ROUND(G39*K39,0)))</f>
      </c>
      <c r="M39" s="12" t="str">
        <f>IF(J39="","",IF(J39&lt;&gt;"정상","비용 설정 필요",SUMIFS('3_채널별_비용설정'!$L$6:$L$55,'3_채널별_비용설정'!$C$6:$C$55,C39,'3_채널별_비용설정'!$D$6:$D$55,"&lt;="&amp;B39,'3_채널별_비용설정'!$O$6:$O$55,"&gt;="&amp;B39)))</f>
      </c>
      <c r="N39" s="12" t="str">
        <f>IF(J39="","",IF(J39&lt;&gt;"정상","비용 설정 필요",SUMIFS('3_채널별_비용설정'!$M$6:$M$55,'3_채널별_비용설정'!$C$6:$C$55,C39,'3_채널별_비용설정'!$D$6:$D$55,"&lt;="&amp;B39,'3_채널별_비용설정'!$O$6:$O$55,"&gt;="&amp;B39)))</f>
      </c>
      <c r="O39" s="12" t="str">
        <f>IF(J39="","",IF(J39&lt;&gt;"정상","비용 설정 필요",(D39*M39)+(E39*N39)))</f>
      </c>
      <c r="P39" s="12" t="str">
        <f>IF(J39="","",IF(J39&lt;&gt;"정상","비용 설정 필요",L39+O39+H39))</f>
      </c>
      <c r="Q39" s="13" t="str">
        <f>IF(J39="","",IF(J39&lt;&gt;"정상","비용 설정 필요",G39-P39))</f>
      </c>
      <c r="R39" s="14" t="str">
        <f>IF(J39="","",IF(J39&lt;&gt;"정상","비용 설정 필요",IFERROR(Q39/G39,0)))</f>
      </c>
    </row>
    <row r="40">
      <c r="B40" s="7"/>
      <c r="C40" s="5"/>
      <c r="D40" s="8"/>
      <c r="E40" s="8"/>
      <c r="F40" s="12" t="str">
        <f>IF(AND(B40="",C40=""),"",SUM(D40:E40))</f>
      </c>
      <c r="G40" s="8"/>
      <c r="H40" s="8"/>
      <c r="I40" s="6"/>
      <c r="J40" s="10" t="str">
        <f>IF(AND(B40="",C40=""),"",IF(OR(B40="",C40=""),"비용 설정 필요",IF(COUNTIFS('3_채널별_비용설정'!$C$6:$C$55,C40,'3_채널별_비용설정'!$D$6:$D$55,"&lt;="&amp;B40,'3_채널별_비용설정'!$O$6:$O$55,"&gt;="&amp;B40)=0,"비용 설정 필요",IF(COUNTIFS('3_채널별_비용설정'!$C$6:$C$55,C40,'3_채널별_비용설정'!$D$6:$D$55,"&lt;="&amp;B40,'3_채널별_비용설정'!$O$6:$O$55,"&gt;="&amp;B40)&gt;1,"기간 중복 확인","정상"))))</f>
      </c>
      <c r="K40" s="15" t="str">
        <f>IF(J40="","",IF(J40&lt;&gt;"정상","비용 설정 필요",SUMIFS('3_채널별_비용설정'!$F$6:$F$55,'3_채널별_비용설정'!$C$6:$C$55,C40,'3_채널별_비용설정'!$D$6:$D$55,"&lt;="&amp;B40,'3_채널별_비용설정'!$O$6:$O$55,"&gt;="&amp;B40)))</f>
      </c>
      <c r="L40" s="12" t="str">
        <f>IF(J40="","",IF(J40&lt;&gt;"정상","비용 설정 필요",ROUND(G40*K40,0)))</f>
      </c>
      <c r="M40" s="12" t="str">
        <f>IF(J40="","",IF(J40&lt;&gt;"정상","비용 설정 필요",SUMIFS('3_채널별_비용설정'!$L$6:$L$55,'3_채널별_비용설정'!$C$6:$C$55,C40,'3_채널별_비용설정'!$D$6:$D$55,"&lt;="&amp;B40,'3_채널별_비용설정'!$O$6:$O$55,"&gt;="&amp;B40)))</f>
      </c>
      <c r="N40" s="12" t="str">
        <f>IF(J40="","",IF(J40&lt;&gt;"정상","비용 설정 필요",SUMIFS('3_채널별_비용설정'!$M$6:$M$55,'3_채널별_비용설정'!$C$6:$C$55,C40,'3_채널별_비용설정'!$D$6:$D$55,"&lt;="&amp;B40,'3_채널별_비용설정'!$O$6:$O$55,"&gt;="&amp;B40)))</f>
      </c>
      <c r="O40" s="12" t="str">
        <f>IF(J40="","",IF(J40&lt;&gt;"정상","비용 설정 필요",(D40*M40)+(E40*N40)))</f>
      </c>
      <c r="P40" s="12" t="str">
        <f>IF(J40="","",IF(J40&lt;&gt;"정상","비용 설정 필요",L40+O40+H40))</f>
      </c>
      <c r="Q40" s="13" t="str">
        <f>IF(J40="","",IF(J40&lt;&gt;"정상","비용 설정 필요",G40-P40))</f>
      </c>
      <c r="R40" s="14" t="str">
        <f>IF(J40="","",IF(J40&lt;&gt;"정상","비용 설정 필요",IFERROR(Q40/G40,0)))</f>
      </c>
    </row>
    <row r="41">
      <c r="B41" s="7"/>
      <c r="C41" s="5"/>
      <c r="D41" s="8"/>
      <c r="E41" s="8"/>
      <c r="F41" s="12" t="str">
        <f>IF(AND(B41="",C41=""),"",SUM(D41:E41))</f>
      </c>
      <c r="G41" s="8"/>
      <c r="H41" s="8"/>
      <c r="I41" s="6"/>
      <c r="J41" s="10" t="str">
        <f>IF(AND(B41="",C41=""),"",IF(OR(B41="",C41=""),"비용 설정 필요",IF(COUNTIFS('3_채널별_비용설정'!$C$6:$C$55,C41,'3_채널별_비용설정'!$D$6:$D$55,"&lt;="&amp;B41,'3_채널별_비용설정'!$O$6:$O$55,"&gt;="&amp;B41)=0,"비용 설정 필요",IF(COUNTIFS('3_채널별_비용설정'!$C$6:$C$55,C41,'3_채널별_비용설정'!$D$6:$D$55,"&lt;="&amp;B41,'3_채널별_비용설정'!$O$6:$O$55,"&gt;="&amp;B41)&gt;1,"기간 중복 확인","정상"))))</f>
      </c>
      <c r="K41" s="15" t="str">
        <f>IF(J41="","",IF(J41&lt;&gt;"정상","비용 설정 필요",SUMIFS('3_채널별_비용설정'!$F$6:$F$55,'3_채널별_비용설정'!$C$6:$C$55,C41,'3_채널별_비용설정'!$D$6:$D$55,"&lt;="&amp;B41,'3_채널별_비용설정'!$O$6:$O$55,"&gt;="&amp;B41)))</f>
      </c>
      <c r="L41" s="12" t="str">
        <f>IF(J41="","",IF(J41&lt;&gt;"정상","비용 설정 필요",ROUND(G41*K41,0)))</f>
      </c>
      <c r="M41" s="12" t="str">
        <f>IF(J41="","",IF(J41&lt;&gt;"정상","비용 설정 필요",SUMIFS('3_채널별_비용설정'!$L$6:$L$55,'3_채널별_비용설정'!$C$6:$C$55,C41,'3_채널별_비용설정'!$D$6:$D$55,"&lt;="&amp;B41,'3_채널별_비용설정'!$O$6:$O$55,"&gt;="&amp;B41)))</f>
      </c>
      <c r="N41" s="12" t="str">
        <f>IF(J41="","",IF(J41&lt;&gt;"정상","비용 설정 필요",SUMIFS('3_채널별_비용설정'!$M$6:$M$55,'3_채널별_비용설정'!$C$6:$C$55,C41,'3_채널별_비용설정'!$D$6:$D$55,"&lt;="&amp;B41,'3_채널별_비용설정'!$O$6:$O$55,"&gt;="&amp;B41)))</f>
      </c>
      <c r="O41" s="12" t="str">
        <f>IF(J41="","",IF(J41&lt;&gt;"정상","비용 설정 필요",(D41*M41)+(E41*N41)))</f>
      </c>
      <c r="P41" s="12" t="str">
        <f>IF(J41="","",IF(J41&lt;&gt;"정상","비용 설정 필요",L41+O41+H41))</f>
      </c>
      <c r="Q41" s="13" t="str">
        <f>IF(J41="","",IF(J41&lt;&gt;"정상","비용 설정 필요",G41-P41))</f>
      </c>
      <c r="R41" s="14" t="str">
        <f>IF(J41="","",IF(J41&lt;&gt;"정상","비용 설정 필요",IFERROR(Q41/G41,0)))</f>
      </c>
    </row>
    <row r="42">
      <c r="B42" s="7"/>
      <c r="C42" s="5"/>
      <c r="D42" s="8"/>
      <c r="E42" s="8"/>
      <c r="F42" s="12" t="str">
        <f>IF(AND(B42="",C42=""),"",SUM(D42:E42))</f>
      </c>
      <c r="G42" s="8"/>
      <c r="H42" s="8"/>
      <c r="I42" s="6"/>
      <c r="J42" s="10" t="str">
        <f>IF(AND(B42="",C42=""),"",IF(OR(B42="",C42=""),"비용 설정 필요",IF(COUNTIFS('3_채널별_비용설정'!$C$6:$C$55,C42,'3_채널별_비용설정'!$D$6:$D$55,"&lt;="&amp;B42,'3_채널별_비용설정'!$O$6:$O$55,"&gt;="&amp;B42)=0,"비용 설정 필요",IF(COUNTIFS('3_채널별_비용설정'!$C$6:$C$55,C42,'3_채널별_비용설정'!$D$6:$D$55,"&lt;="&amp;B42,'3_채널별_비용설정'!$O$6:$O$55,"&gt;="&amp;B42)&gt;1,"기간 중복 확인","정상"))))</f>
      </c>
      <c r="K42" s="15" t="str">
        <f>IF(J42="","",IF(J42&lt;&gt;"정상","비용 설정 필요",SUMIFS('3_채널별_비용설정'!$F$6:$F$55,'3_채널별_비용설정'!$C$6:$C$55,C42,'3_채널별_비용설정'!$D$6:$D$55,"&lt;="&amp;B42,'3_채널별_비용설정'!$O$6:$O$55,"&gt;="&amp;B42)))</f>
      </c>
      <c r="L42" s="12" t="str">
        <f>IF(J42="","",IF(J42&lt;&gt;"정상","비용 설정 필요",ROUND(G42*K42,0)))</f>
      </c>
      <c r="M42" s="12" t="str">
        <f>IF(J42="","",IF(J42&lt;&gt;"정상","비용 설정 필요",SUMIFS('3_채널별_비용설정'!$L$6:$L$55,'3_채널별_비용설정'!$C$6:$C$55,C42,'3_채널별_비용설정'!$D$6:$D$55,"&lt;="&amp;B42,'3_채널별_비용설정'!$O$6:$O$55,"&gt;="&amp;B42)))</f>
      </c>
      <c r="N42" s="12" t="str">
        <f>IF(J42="","",IF(J42&lt;&gt;"정상","비용 설정 필요",SUMIFS('3_채널별_비용설정'!$M$6:$M$55,'3_채널별_비용설정'!$C$6:$C$55,C42,'3_채널별_비용설정'!$D$6:$D$55,"&lt;="&amp;B42,'3_채널별_비용설정'!$O$6:$O$55,"&gt;="&amp;B42)))</f>
      </c>
      <c r="O42" s="12" t="str">
        <f>IF(J42="","",IF(J42&lt;&gt;"정상","비용 설정 필요",(D42*M42)+(E42*N42)))</f>
      </c>
      <c r="P42" s="12" t="str">
        <f>IF(J42="","",IF(J42&lt;&gt;"정상","비용 설정 필요",L42+O42+H42))</f>
      </c>
      <c r="Q42" s="13" t="str">
        <f>IF(J42="","",IF(J42&lt;&gt;"정상","비용 설정 필요",G42-P42))</f>
      </c>
      <c r="R42" s="14" t="str">
        <f>IF(J42="","",IF(J42&lt;&gt;"정상","비용 설정 필요",IFERROR(Q42/G42,0)))</f>
      </c>
    </row>
    <row r="43">
      <c r="B43" s="7"/>
      <c r="C43" s="5"/>
      <c r="D43" s="8"/>
      <c r="E43" s="8"/>
      <c r="F43" s="12" t="str">
        <f>IF(AND(B43="",C43=""),"",SUM(D43:E43))</f>
      </c>
      <c r="G43" s="8"/>
      <c r="H43" s="8"/>
      <c r="I43" s="6"/>
      <c r="J43" s="10" t="str">
        <f>IF(AND(B43="",C43=""),"",IF(OR(B43="",C43=""),"비용 설정 필요",IF(COUNTIFS('3_채널별_비용설정'!$C$6:$C$55,C43,'3_채널별_비용설정'!$D$6:$D$55,"&lt;="&amp;B43,'3_채널별_비용설정'!$O$6:$O$55,"&gt;="&amp;B43)=0,"비용 설정 필요",IF(COUNTIFS('3_채널별_비용설정'!$C$6:$C$55,C43,'3_채널별_비용설정'!$D$6:$D$55,"&lt;="&amp;B43,'3_채널별_비용설정'!$O$6:$O$55,"&gt;="&amp;B43)&gt;1,"기간 중복 확인","정상"))))</f>
      </c>
      <c r="K43" s="15" t="str">
        <f>IF(J43="","",IF(J43&lt;&gt;"정상","비용 설정 필요",SUMIFS('3_채널별_비용설정'!$F$6:$F$55,'3_채널별_비용설정'!$C$6:$C$55,C43,'3_채널별_비용설정'!$D$6:$D$55,"&lt;="&amp;B43,'3_채널별_비용설정'!$O$6:$O$55,"&gt;="&amp;B43)))</f>
      </c>
      <c r="L43" s="12" t="str">
        <f>IF(J43="","",IF(J43&lt;&gt;"정상","비용 설정 필요",ROUND(G43*K43,0)))</f>
      </c>
      <c r="M43" s="12" t="str">
        <f>IF(J43="","",IF(J43&lt;&gt;"정상","비용 설정 필요",SUMIFS('3_채널별_비용설정'!$L$6:$L$55,'3_채널별_비용설정'!$C$6:$C$55,C43,'3_채널별_비용설정'!$D$6:$D$55,"&lt;="&amp;B43,'3_채널별_비용설정'!$O$6:$O$55,"&gt;="&amp;B43)))</f>
      </c>
      <c r="N43" s="12" t="str">
        <f>IF(J43="","",IF(J43&lt;&gt;"정상","비용 설정 필요",SUMIFS('3_채널별_비용설정'!$M$6:$M$55,'3_채널별_비용설정'!$C$6:$C$55,C43,'3_채널별_비용설정'!$D$6:$D$55,"&lt;="&amp;B43,'3_채널별_비용설정'!$O$6:$O$55,"&gt;="&amp;B43)))</f>
      </c>
      <c r="O43" s="12" t="str">
        <f>IF(J43="","",IF(J43&lt;&gt;"정상","비용 설정 필요",(D43*M43)+(E43*N43)))</f>
      </c>
      <c r="P43" s="12" t="str">
        <f>IF(J43="","",IF(J43&lt;&gt;"정상","비용 설정 필요",L43+O43+H43))</f>
      </c>
      <c r="Q43" s="13" t="str">
        <f>IF(J43="","",IF(J43&lt;&gt;"정상","비용 설정 필요",G43-P43))</f>
      </c>
      <c r="R43" s="14" t="str">
        <f>IF(J43="","",IF(J43&lt;&gt;"정상","비용 설정 필요",IFERROR(Q43/G43,0)))</f>
      </c>
    </row>
    <row r="44">
      <c r="B44" s="7"/>
      <c r="C44" s="5"/>
      <c r="D44" s="8"/>
      <c r="E44" s="8"/>
      <c r="F44" s="12" t="str">
        <f>IF(AND(B44="",C44=""),"",SUM(D44:E44))</f>
      </c>
      <c r="G44" s="8"/>
      <c r="H44" s="8"/>
      <c r="I44" s="6"/>
      <c r="J44" s="10" t="str">
        <f>IF(AND(B44="",C44=""),"",IF(OR(B44="",C44=""),"비용 설정 필요",IF(COUNTIFS('3_채널별_비용설정'!$C$6:$C$55,C44,'3_채널별_비용설정'!$D$6:$D$55,"&lt;="&amp;B44,'3_채널별_비용설정'!$O$6:$O$55,"&gt;="&amp;B44)=0,"비용 설정 필요",IF(COUNTIFS('3_채널별_비용설정'!$C$6:$C$55,C44,'3_채널별_비용설정'!$D$6:$D$55,"&lt;="&amp;B44,'3_채널별_비용설정'!$O$6:$O$55,"&gt;="&amp;B44)&gt;1,"기간 중복 확인","정상"))))</f>
      </c>
      <c r="K44" s="15" t="str">
        <f>IF(J44="","",IF(J44&lt;&gt;"정상","비용 설정 필요",SUMIFS('3_채널별_비용설정'!$F$6:$F$55,'3_채널별_비용설정'!$C$6:$C$55,C44,'3_채널별_비용설정'!$D$6:$D$55,"&lt;="&amp;B44,'3_채널별_비용설정'!$O$6:$O$55,"&gt;="&amp;B44)))</f>
      </c>
      <c r="L44" s="12" t="str">
        <f>IF(J44="","",IF(J44&lt;&gt;"정상","비용 설정 필요",ROUND(G44*K44,0)))</f>
      </c>
      <c r="M44" s="12" t="str">
        <f>IF(J44="","",IF(J44&lt;&gt;"정상","비용 설정 필요",SUMIFS('3_채널별_비용설정'!$L$6:$L$55,'3_채널별_비용설정'!$C$6:$C$55,C44,'3_채널별_비용설정'!$D$6:$D$55,"&lt;="&amp;B44,'3_채널별_비용설정'!$O$6:$O$55,"&gt;="&amp;B44)))</f>
      </c>
      <c r="N44" s="12" t="str">
        <f>IF(J44="","",IF(J44&lt;&gt;"정상","비용 설정 필요",SUMIFS('3_채널별_비용설정'!$M$6:$M$55,'3_채널별_비용설정'!$C$6:$C$55,C44,'3_채널별_비용설정'!$D$6:$D$55,"&lt;="&amp;B44,'3_채널별_비용설정'!$O$6:$O$55,"&gt;="&amp;B44)))</f>
      </c>
      <c r="O44" s="12" t="str">
        <f>IF(J44="","",IF(J44&lt;&gt;"정상","비용 설정 필요",(D44*M44)+(E44*N44)))</f>
      </c>
      <c r="P44" s="12" t="str">
        <f>IF(J44="","",IF(J44&lt;&gt;"정상","비용 설정 필요",L44+O44+H44))</f>
      </c>
      <c r="Q44" s="13" t="str">
        <f>IF(J44="","",IF(J44&lt;&gt;"정상","비용 설정 필요",G44-P44))</f>
      </c>
      <c r="R44" s="14" t="str">
        <f>IF(J44="","",IF(J44&lt;&gt;"정상","비용 설정 필요",IFERROR(Q44/G44,0)))</f>
      </c>
    </row>
    <row r="45">
      <c r="B45" s="7"/>
      <c r="C45" s="5"/>
      <c r="D45" s="8"/>
      <c r="E45" s="8"/>
      <c r="F45" s="12" t="str">
        <f>IF(AND(B45="",C45=""),"",SUM(D45:E45))</f>
      </c>
      <c r="G45" s="8"/>
      <c r="H45" s="8"/>
      <c r="I45" s="6"/>
      <c r="J45" s="10" t="str">
        <f>IF(AND(B45="",C45=""),"",IF(OR(B45="",C45=""),"비용 설정 필요",IF(COUNTIFS('3_채널별_비용설정'!$C$6:$C$55,C45,'3_채널별_비용설정'!$D$6:$D$55,"&lt;="&amp;B45,'3_채널별_비용설정'!$O$6:$O$55,"&gt;="&amp;B45)=0,"비용 설정 필요",IF(COUNTIFS('3_채널별_비용설정'!$C$6:$C$55,C45,'3_채널별_비용설정'!$D$6:$D$55,"&lt;="&amp;B45,'3_채널별_비용설정'!$O$6:$O$55,"&gt;="&amp;B45)&gt;1,"기간 중복 확인","정상"))))</f>
      </c>
      <c r="K45" s="15" t="str">
        <f>IF(J45="","",IF(J45&lt;&gt;"정상","비용 설정 필요",SUMIFS('3_채널별_비용설정'!$F$6:$F$55,'3_채널별_비용설정'!$C$6:$C$55,C45,'3_채널별_비용설정'!$D$6:$D$55,"&lt;="&amp;B45,'3_채널별_비용설정'!$O$6:$O$55,"&gt;="&amp;B45)))</f>
      </c>
      <c r="L45" s="12" t="str">
        <f>IF(J45="","",IF(J45&lt;&gt;"정상","비용 설정 필요",ROUND(G45*K45,0)))</f>
      </c>
      <c r="M45" s="12" t="str">
        <f>IF(J45="","",IF(J45&lt;&gt;"정상","비용 설정 필요",SUMIFS('3_채널별_비용설정'!$L$6:$L$55,'3_채널별_비용설정'!$C$6:$C$55,C45,'3_채널별_비용설정'!$D$6:$D$55,"&lt;="&amp;B45,'3_채널별_비용설정'!$O$6:$O$55,"&gt;="&amp;B45)))</f>
      </c>
      <c r="N45" s="12" t="str">
        <f>IF(J45="","",IF(J45&lt;&gt;"정상","비용 설정 필요",SUMIFS('3_채널별_비용설정'!$M$6:$M$55,'3_채널별_비용설정'!$C$6:$C$55,C45,'3_채널별_비용설정'!$D$6:$D$55,"&lt;="&amp;B45,'3_채널별_비용설정'!$O$6:$O$55,"&gt;="&amp;B45)))</f>
      </c>
      <c r="O45" s="12" t="str">
        <f>IF(J45="","",IF(J45&lt;&gt;"정상","비용 설정 필요",(D45*M45)+(E45*N45)))</f>
      </c>
      <c r="P45" s="12" t="str">
        <f>IF(J45="","",IF(J45&lt;&gt;"정상","비용 설정 필요",L45+O45+H45))</f>
      </c>
      <c r="Q45" s="13" t="str">
        <f>IF(J45="","",IF(J45&lt;&gt;"정상","비용 설정 필요",G45-P45))</f>
      </c>
      <c r="R45" s="14" t="str">
        <f>IF(J45="","",IF(J45&lt;&gt;"정상","비용 설정 필요",IFERROR(Q45/G45,0)))</f>
      </c>
    </row>
    <row r="46">
      <c r="B46" s="7"/>
      <c r="C46" s="5"/>
      <c r="D46" s="8"/>
      <c r="E46" s="8"/>
      <c r="F46" s="12" t="str">
        <f>IF(AND(B46="",C46=""),"",SUM(D46:E46))</f>
      </c>
      <c r="G46" s="8"/>
      <c r="H46" s="8"/>
      <c r="I46" s="6"/>
      <c r="J46" s="10" t="str">
        <f>IF(AND(B46="",C46=""),"",IF(OR(B46="",C46=""),"비용 설정 필요",IF(COUNTIFS('3_채널별_비용설정'!$C$6:$C$55,C46,'3_채널별_비용설정'!$D$6:$D$55,"&lt;="&amp;B46,'3_채널별_비용설정'!$O$6:$O$55,"&gt;="&amp;B46)=0,"비용 설정 필요",IF(COUNTIFS('3_채널별_비용설정'!$C$6:$C$55,C46,'3_채널별_비용설정'!$D$6:$D$55,"&lt;="&amp;B46,'3_채널별_비용설정'!$O$6:$O$55,"&gt;="&amp;B46)&gt;1,"기간 중복 확인","정상"))))</f>
      </c>
      <c r="K46" s="15" t="str">
        <f>IF(J46="","",IF(J46&lt;&gt;"정상","비용 설정 필요",SUMIFS('3_채널별_비용설정'!$F$6:$F$55,'3_채널별_비용설정'!$C$6:$C$55,C46,'3_채널별_비용설정'!$D$6:$D$55,"&lt;="&amp;B46,'3_채널별_비용설정'!$O$6:$O$55,"&gt;="&amp;B46)))</f>
      </c>
      <c r="L46" s="12" t="str">
        <f>IF(J46="","",IF(J46&lt;&gt;"정상","비용 설정 필요",ROUND(G46*K46,0)))</f>
      </c>
      <c r="M46" s="12" t="str">
        <f>IF(J46="","",IF(J46&lt;&gt;"정상","비용 설정 필요",SUMIFS('3_채널별_비용설정'!$L$6:$L$55,'3_채널별_비용설정'!$C$6:$C$55,C46,'3_채널별_비용설정'!$D$6:$D$55,"&lt;="&amp;B46,'3_채널별_비용설정'!$O$6:$O$55,"&gt;="&amp;B46)))</f>
      </c>
      <c r="N46" s="12" t="str">
        <f>IF(J46="","",IF(J46&lt;&gt;"정상","비용 설정 필요",SUMIFS('3_채널별_비용설정'!$M$6:$M$55,'3_채널별_비용설정'!$C$6:$C$55,C46,'3_채널별_비용설정'!$D$6:$D$55,"&lt;="&amp;B46,'3_채널별_비용설정'!$O$6:$O$55,"&gt;="&amp;B46)))</f>
      </c>
      <c r="O46" s="12" t="str">
        <f>IF(J46="","",IF(J46&lt;&gt;"정상","비용 설정 필요",(D46*M46)+(E46*N46)))</f>
      </c>
      <c r="P46" s="12" t="str">
        <f>IF(J46="","",IF(J46&lt;&gt;"정상","비용 설정 필요",L46+O46+H46))</f>
      </c>
      <c r="Q46" s="13" t="str">
        <f>IF(J46="","",IF(J46&lt;&gt;"정상","비용 설정 필요",G46-P46))</f>
      </c>
      <c r="R46" s="14" t="str">
        <f>IF(J46="","",IF(J46&lt;&gt;"정상","비용 설정 필요",IFERROR(Q46/G46,0)))</f>
      </c>
    </row>
    <row r="47">
      <c r="B47" s="7"/>
      <c r="C47" s="5"/>
      <c r="D47" s="8"/>
      <c r="E47" s="8"/>
      <c r="F47" s="12" t="str">
        <f>IF(AND(B47="",C47=""),"",SUM(D47:E47))</f>
      </c>
      <c r="G47" s="8"/>
      <c r="H47" s="8"/>
      <c r="I47" s="6"/>
      <c r="J47" s="10" t="str">
        <f>IF(AND(B47="",C47=""),"",IF(OR(B47="",C47=""),"비용 설정 필요",IF(COUNTIFS('3_채널별_비용설정'!$C$6:$C$55,C47,'3_채널별_비용설정'!$D$6:$D$55,"&lt;="&amp;B47,'3_채널별_비용설정'!$O$6:$O$55,"&gt;="&amp;B47)=0,"비용 설정 필요",IF(COUNTIFS('3_채널별_비용설정'!$C$6:$C$55,C47,'3_채널별_비용설정'!$D$6:$D$55,"&lt;="&amp;B47,'3_채널별_비용설정'!$O$6:$O$55,"&gt;="&amp;B47)&gt;1,"기간 중복 확인","정상"))))</f>
      </c>
      <c r="K47" s="15" t="str">
        <f>IF(J47="","",IF(J47&lt;&gt;"정상","비용 설정 필요",SUMIFS('3_채널별_비용설정'!$F$6:$F$55,'3_채널별_비용설정'!$C$6:$C$55,C47,'3_채널별_비용설정'!$D$6:$D$55,"&lt;="&amp;B47,'3_채널별_비용설정'!$O$6:$O$55,"&gt;="&amp;B47)))</f>
      </c>
      <c r="L47" s="12" t="str">
        <f>IF(J47="","",IF(J47&lt;&gt;"정상","비용 설정 필요",ROUND(G47*K47,0)))</f>
      </c>
      <c r="M47" s="12" t="str">
        <f>IF(J47="","",IF(J47&lt;&gt;"정상","비용 설정 필요",SUMIFS('3_채널별_비용설정'!$L$6:$L$55,'3_채널별_비용설정'!$C$6:$C$55,C47,'3_채널별_비용설정'!$D$6:$D$55,"&lt;="&amp;B47,'3_채널별_비용설정'!$O$6:$O$55,"&gt;="&amp;B47)))</f>
      </c>
      <c r="N47" s="12" t="str">
        <f>IF(J47="","",IF(J47&lt;&gt;"정상","비용 설정 필요",SUMIFS('3_채널별_비용설정'!$M$6:$M$55,'3_채널별_비용설정'!$C$6:$C$55,C47,'3_채널별_비용설정'!$D$6:$D$55,"&lt;="&amp;B47,'3_채널별_비용설정'!$O$6:$O$55,"&gt;="&amp;B47)))</f>
      </c>
      <c r="O47" s="12" t="str">
        <f>IF(J47="","",IF(J47&lt;&gt;"정상","비용 설정 필요",(D47*M47)+(E47*N47)))</f>
      </c>
      <c r="P47" s="12" t="str">
        <f>IF(J47="","",IF(J47&lt;&gt;"정상","비용 설정 필요",L47+O47+H47))</f>
      </c>
      <c r="Q47" s="13" t="str">
        <f>IF(J47="","",IF(J47&lt;&gt;"정상","비용 설정 필요",G47-P47))</f>
      </c>
      <c r="R47" s="14" t="str">
        <f>IF(J47="","",IF(J47&lt;&gt;"정상","비용 설정 필요",IFERROR(Q47/G47,0)))</f>
      </c>
    </row>
    <row r="48">
      <c r="B48" s="7"/>
      <c r="C48" s="5"/>
      <c r="D48" s="8"/>
      <c r="E48" s="8"/>
      <c r="F48" s="12" t="str">
        <f>IF(AND(B48="",C48=""),"",SUM(D48:E48))</f>
      </c>
      <c r="G48" s="8"/>
      <c r="H48" s="8"/>
      <c r="I48" s="6"/>
      <c r="J48" s="10" t="str">
        <f>IF(AND(B48="",C48=""),"",IF(OR(B48="",C48=""),"비용 설정 필요",IF(COUNTIFS('3_채널별_비용설정'!$C$6:$C$55,C48,'3_채널별_비용설정'!$D$6:$D$55,"&lt;="&amp;B48,'3_채널별_비용설정'!$O$6:$O$55,"&gt;="&amp;B48)=0,"비용 설정 필요",IF(COUNTIFS('3_채널별_비용설정'!$C$6:$C$55,C48,'3_채널별_비용설정'!$D$6:$D$55,"&lt;="&amp;B48,'3_채널별_비용설정'!$O$6:$O$55,"&gt;="&amp;B48)&gt;1,"기간 중복 확인","정상"))))</f>
      </c>
      <c r="K48" s="15" t="str">
        <f>IF(J48="","",IF(J48&lt;&gt;"정상","비용 설정 필요",SUMIFS('3_채널별_비용설정'!$F$6:$F$55,'3_채널별_비용설정'!$C$6:$C$55,C48,'3_채널별_비용설정'!$D$6:$D$55,"&lt;="&amp;B48,'3_채널별_비용설정'!$O$6:$O$55,"&gt;="&amp;B48)))</f>
      </c>
      <c r="L48" s="12" t="str">
        <f>IF(J48="","",IF(J48&lt;&gt;"정상","비용 설정 필요",ROUND(G48*K48,0)))</f>
      </c>
      <c r="M48" s="12" t="str">
        <f>IF(J48="","",IF(J48&lt;&gt;"정상","비용 설정 필요",SUMIFS('3_채널별_비용설정'!$L$6:$L$55,'3_채널별_비용설정'!$C$6:$C$55,C48,'3_채널별_비용설정'!$D$6:$D$55,"&lt;="&amp;B48,'3_채널별_비용설정'!$O$6:$O$55,"&gt;="&amp;B48)))</f>
      </c>
      <c r="N48" s="12" t="str">
        <f>IF(J48="","",IF(J48&lt;&gt;"정상","비용 설정 필요",SUMIFS('3_채널별_비용설정'!$M$6:$M$55,'3_채널별_비용설정'!$C$6:$C$55,C48,'3_채널별_비용설정'!$D$6:$D$55,"&lt;="&amp;B48,'3_채널별_비용설정'!$O$6:$O$55,"&gt;="&amp;B48)))</f>
      </c>
      <c r="O48" s="12" t="str">
        <f>IF(J48="","",IF(J48&lt;&gt;"정상","비용 설정 필요",(D48*M48)+(E48*N48)))</f>
      </c>
      <c r="P48" s="12" t="str">
        <f>IF(J48="","",IF(J48&lt;&gt;"정상","비용 설정 필요",L48+O48+H48))</f>
      </c>
      <c r="Q48" s="13" t="str">
        <f>IF(J48="","",IF(J48&lt;&gt;"정상","비용 설정 필요",G48-P48))</f>
      </c>
      <c r="R48" s="14" t="str">
        <f>IF(J48="","",IF(J48&lt;&gt;"정상","비용 설정 필요",IFERROR(Q48/G48,0)))</f>
      </c>
    </row>
    <row r="49">
      <c r="B49" s="7"/>
      <c r="C49" s="5"/>
      <c r="D49" s="8"/>
      <c r="E49" s="8"/>
      <c r="F49" s="12" t="str">
        <f>IF(AND(B49="",C49=""),"",SUM(D49:E49))</f>
      </c>
      <c r="G49" s="8"/>
      <c r="H49" s="8"/>
      <c r="I49" s="6"/>
      <c r="J49" s="10" t="str">
        <f>IF(AND(B49="",C49=""),"",IF(OR(B49="",C49=""),"비용 설정 필요",IF(COUNTIFS('3_채널별_비용설정'!$C$6:$C$55,C49,'3_채널별_비용설정'!$D$6:$D$55,"&lt;="&amp;B49,'3_채널별_비용설정'!$O$6:$O$55,"&gt;="&amp;B49)=0,"비용 설정 필요",IF(COUNTIFS('3_채널별_비용설정'!$C$6:$C$55,C49,'3_채널별_비용설정'!$D$6:$D$55,"&lt;="&amp;B49,'3_채널별_비용설정'!$O$6:$O$55,"&gt;="&amp;B49)&gt;1,"기간 중복 확인","정상"))))</f>
      </c>
      <c r="K49" s="15" t="str">
        <f>IF(J49="","",IF(J49&lt;&gt;"정상","비용 설정 필요",SUMIFS('3_채널별_비용설정'!$F$6:$F$55,'3_채널별_비용설정'!$C$6:$C$55,C49,'3_채널별_비용설정'!$D$6:$D$55,"&lt;="&amp;B49,'3_채널별_비용설정'!$O$6:$O$55,"&gt;="&amp;B49)))</f>
      </c>
      <c r="L49" s="12" t="str">
        <f>IF(J49="","",IF(J49&lt;&gt;"정상","비용 설정 필요",ROUND(G49*K49,0)))</f>
      </c>
      <c r="M49" s="12" t="str">
        <f>IF(J49="","",IF(J49&lt;&gt;"정상","비용 설정 필요",SUMIFS('3_채널별_비용설정'!$L$6:$L$55,'3_채널별_비용설정'!$C$6:$C$55,C49,'3_채널별_비용설정'!$D$6:$D$55,"&lt;="&amp;B49,'3_채널별_비용설정'!$O$6:$O$55,"&gt;="&amp;B49)))</f>
      </c>
      <c r="N49" s="12" t="str">
        <f>IF(J49="","",IF(J49&lt;&gt;"정상","비용 설정 필요",SUMIFS('3_채널별_비용설정'!$M$6:$M$55,'3_채널별_비용설정'!$C$6:$C$55,C49,'3_채널별_비용설정'!$D$6:$D$55,"&lt;="&amp;B49,'3_채널별_비용설정'!$O$6:$O$55,"&gt;="&amp;B49)))</f>
      </c>
      <c r="O49" s="12" t="str">
        <f>IF(J49="","",IF(J49&lt;&gt;"정상","비용 설정 필요",(D49*M49)+(E49*N49)))</f>
      </c>
      <c r="P49" s="12" t="str">
        <f>IF(J49="","",IF(J49&lt;&gt;"정상","비용 설정 필요",L49+O49+H49))</f>
      </c>
      <c r="Q49" s="13" t="str">
        <f>IF(J49="","",IF(J49&lt;&gt;"정상","비용 설정 필요",G49-P49))</f>
      </c>
      <c r="R49" s="14" t="str">
        <f>IF(J49="","",IF(J49&lt;&gt;"정상","비용 설정 필요",IFERROR(Q49/G49,0)))</f>
      </c>
    </row>
    <row r="50">
      <c r="B50" s="7"/>
      <c r="C50" s="5"/>
      <c r="D50" s="8"/>
      <c r="E50" s="8"/>
      <c r="F50" s="12" t="str">
        <f>IF(AND(B50="",C50=""),"",SUM(D50:E50))</f>
      </c>
      <c r="G50" s="8"/>
      <c r="H50" s="8"/>
      <c r="I50" s="6"/>
      <c r="J50" s="10" t="str">
        <f>IF(AND(B50="",C50=""),"",IF(OR(B50="",C50=""),"비용 설정 필요",IF(COUNTIFS('3_채널별_비용설정'!$C$6:$C$55,C50,'3_채널별_비용설정'!$D$6:$D$55,"&lt;="&amp;B50,'3_채널별_비용설정'!$O$6:$O$55,"&gt;="&amp;B50)=0,"비용 설정 필요",IF(COUNTIFS('3_채널별_비용설정'!$C$6:$C$55,C50,'3_채널별_비용설정'!$D$6:$D$55,"&lt;="&amp;B50,'3_채널별_비용설정'!$O$6:$O$55,"&gt;="&amp;B50)&gt;1,"기간 중복 확인","정상"))))</f>
      </c>
      <c r="K50" s="15" t="str">
        <f>IF(J50="","",IF(J50&lt;&gt;"정상","비용 설정 필요",SUMIFS('3_채널별_비용설정'!$F$6:$F$55,'3_채널별_비용설정'!$C$6:$C$55,C50,'3_채널별_비용설정'!$D$6:$D$55,"&lt;="&amp;B50,'3_채널별_비용설정'!$O$6:$O$55,"&gt;="&amp;B50)))</f>
      </c>
      <c r="L50" s="12" t="str">
        <f>IF(J50="","",IF(J50&lt;&gt;"정상","비용 설정 필요",ROUND(G50*K50,0)))</f>
      </c>
      <c r="M50" s="12" t="str">
        <f>IF(J50="","",IF(J50&lt;&gt;"정상","비용 설정 필요",SUMIFS('3_채널별_비용설정'!$L$6:$L$55,'3_채널별_비용설정'!$C$6:$C$55,C50,'3_채널별_비용설정'!$D$6:$D$55,"&lt;="&amp;B50,'3_채널별_비용설정'!$O$6:$O$55,"&gt;="&amp;B50)))</f>
      </c>
      <c r="N50" s="12" t="str">
        <f>IF(J50="","",IF(J50&lt;&gt;"정상","비용 설정 필요",SUMIFS('3_채널별_비용설정'!$M$6:$M$55,'3_채널별_비용설정'!$C$6:$C$55,C50,'3_채널별_비용설정'!$D$6:$D$55,"&lt;="&amp;B50,'3_채널별_비용설정'!$O$6:$O$55,"&gt;="&amp;B50)))</f>
      </c>
      <c r="O50" s="12" t="str">
        <f>IF(J50="","",IF(J50&lt;&gt;"정상","비용 설정 필요",(D50*M50)+(E50*N50)))</f>
      </c>
      <c r="P50" s="12" t="str">
        <f>IF(J50="","",IF(J50&lt;&gt;"정상","비용 설정 필요",L50+O50+H50))</f>
      </c>
      <c r="Q50" s="13" t="str">
        <f>IF(J50="","",IF(J50&lt;&gt;"정상","비용 설정 필요",G50-P50))</f>
      </c>
      <c r="R50" s="14" t="str">
        <f>IF(J50="","",IF(J50&lt;&gt;"정상","비용 설정 필요",IFERROR(Q50/G50,0)))</f>
      </c>
    </row>
    <row r="51">
      <c r="B51" s="7"/>
      <c r="C51" s="5"/>
      <c r="D51" s="8"/>
      <c r="E51" s="8"/>
      <c r="F51" s="12" t="str">
        <f>IF(AND(B51="",C51=""),"",SUM(D51:E51))</f>
      </c>
      <c r="G51" s="8"/>
      <c r="H51" s="8"/>
      <c r="I51" s="6"/>
      <c r="J51" s="10" t="str">
        <f>IF(AND(B51="",C51=""),"",IF(OR(B51="",C51=""),"비용 설정 필요",IF(COUNTIFS('3_채널별_비용설정'!$C$6:$C$55,C51,'3_채널별_비용설정'!$D$6:$D$55,"&lt;="&amp;B51,'3_채널별_비용설정'!$O$6:$O$55,"&gt;="&amp;B51)=0,"비용 설정 필요",IF(COUNTIFS('3_채널별_비용설정'!$C$6:$C$55,C51,'3_채널별_비용설정'!$D$6:$D$55,"&lt;="&amp;B51,'3_채널별_비용설정'!$O$6:$O$55,"&gt;="&amp;B51)&gt;1,"기간 중복 확인","정상"))))</f>
      </c>
      <c r="K51" s="15" t="str">
        <f>IF(J51="","",IF(J51&lt;&gt;"정상","비용 설정 필요",SUMIFS('3_채널별_비용설정'!$F$6:$F$55,'3_채널별_비용설정'!$C$6:$C$55,C51,'3_채널별_비용설정'!$D$6:$D$55,"&lt;="&amp;B51,'3_채널별_비용설정'!$O$6:$O$55,"&gt;="&amp;B51)))</f>
      </c>
      <c r="L51" s="12" t="str">
        <f>IF(J51="","",IF(J51&lt;&gt;"정상","비용 설정 필요",ROUND(G51*K51,0)))</f>
      </c>
      <c r="M51" s="12" t="str">
        <f>IF(J51="","",IF(J51&lt;&gt;"정상","비용 설정 필요",SUMIFS('3_채널별_비용설정'!$L$6:$L$55,'3_채널별_비용설정'!$C$6:$C$55,C51,'3_채널별_비용설정'!$D$6:$D$55,"&lt;="&amp;B51,'3_채널별_비용설정'!$O$6:$O$55,"&gt;="&amp;B51)))</f>
      </c>
      <c r="N51" s="12" t="str">
        <f>IF(J51="","",IF(J51&lt;&gt;"정상","비용 설정 필요",SUMIFS('3_채널별_비용설정'!$M$6:$M$55,'3_채널별_비용설정'!$C$6:$C$55,C51,'3_채널별_비용설정'!$D$6:$D$55,"&lt;="&amp;B51,'3_채널별_비용설정'!$O$6:$O$55,"&gt;="&amp;B51)))</f>
      </c>
      <c r="O51" s="12" t="str">
        <f>IF(J51="","",IF(J51&lt;&gt;"정상","비용 설정 필요",(D51*M51)+(E51*N51)))</f>
      </c>
      <c r="P51" s="12" t="str">
        <f>IF(J51="","",IF(J51&lt;&gt;"정상","비용 설정 필요",L51+O51+H51))</f>
      </c>
      <c r="Q51" s="13" t="str">
        <f>IF(J51="","",IF(J51&lt;&gt;"정상","비용 설정 필요",G51-P51))</f>
      </c>
      <c r="R51" s="14" t="str">
        <f>IF(J51="","",IF(J51&lt;&gt;"정상","비용 설정 필요",IFERROR(Q51/G51,0)))</f>
      </c>
    </row>
    <row r="52">
      <c r="B52" s="7"/>
      <c r="C52" s="5"/>
      <c r="D52" s="8"/>
      <c r="E52" s="8"/>
      <c r="F52" s="12" t="str">
        <f>IF(AND(B52="",C52=""),"",SUM(D52:E52))</f>
      </c>
      <c r="G52" s="8"/>
      <c r="H52" s="8"/>
      <c r="I52" s="6"/>
      <c r="J52" s="10" t="str">
        <f>IF(AND(B52="",C52=""),"",IF(OR(B52="",C52=""),"비용 설정 필요",IF(COUNTIFS('3_채널별_비용설정'!$C$6:$C$55,C52,'3_채널별_비용설정'!$D$6:$D$55,"&lt;="&amp;B52,'3_채널별_비용설정'!$O$6:$O$55,"&gt;="&amp;B52)=0,"비용 설정 필요",IF(COUNTIFS('3_채널별_비용설정'!$C$6:$C$55,C52,'3_채널별_비용설정'!$D$6:$D$55,"&lt;="&amp;B52,'3_채널별_비용설정'!$O$6:$O$55,"&gt;="&amp;B52)&gt;1,"기간 중복 확인","정상"))))</f>
      </c>
      <c r="K52" s="15" t="str">
        <f>IF(J52="","",IF(J52&lt;&gt;"정상","비용 설정 필요",SUMIFS('3_채널별_비용설정'!$F$6:$F$55,'3_채널별_비용설정'!$C$6:$C$55,C52,'3_채널별_비용설정'!$D$6:$D$55,"&lt;="&amp;B52,'3_채널별_비용설정'!$O$6:$O$55,"&gt;="&amp;B52)))</f>
      </c>
      <c r="L52" s="12" t="str">
        <f>IF(J52="","",IF(J52&lt;&gt;"정상","비용 설정 필요",ROUND(G52*K52,0)))</f>
      </c>
      <c r="M52" s="12" t="str">
        <f>IF(J52="","",IF(J52&lt;&gt;"정상","비용 설정 필요",SUMIFS('3_채널별_비용설정'!$L$6:$L$55,'3_채널별_비용설정'!$C$6:$C$55,C52,'3_채널별_비용설정'!$D$6:$D$55,"&lt;="&amp;B52,'3_채널별_비용설정'!$O$6:$O$55,"&gt;="&amp;B52)))</f>
      </c>
      <c r="N52" s="12" t="str">
        <f>IF(J52="","",IF(J52&lt;&gt;"정상","비용 설정 필요",SUMIFS('3_채널별_비용설정'!$M$6:$M$55,'3_채널별_비용설정'!$C$6:$C$55,C52,'3_채널별_비용설정'!$D$6:$D$55,"&lt;="&amp;B52,'3_채널별_비용설정'!$O$6:$O$55,"&gt;="&amp;B52)))</f>
      </c>
      <c r="O52" s="12" t="str">
        <f>IF(J52="","",IF(J52&lt;&gt;"정상","비용 설정 필요",(D52*M52)+(E52*N52)))</f>
      </c>
      <c r="P52" s="12" t="str">
        <f>IF(J52="","",IF(J52&lt;&gt;"정상","비용 설정 필요",L52+O52+H52))</f>
      </c>
      <c r="Q52" s="13" t="str">
        <f>IF(J52="","",IF(J52&lt;&gt;"정상","비용 설정 필요",G52-P52))</f>
      </c>
      <c r="R52" s="14" t="str">
        <f>IF(J52="","",IF(J52&lt;&gt;"정상","비용 설정 필요",IFERROR(Q52/G52,0)))</f>
      </c>
    </row>
    <row r="53">
      <c r="B53" s="7"/>
      <c r="C53" s="5"/>
      <c r="D53" s="8"/>
      <c r="E53" s="8"/>
      <c r="F53" s="12" t="str">
        <f>IF(AND(B53="",C53=""),"",SUM(D53:E53))</f>
      </c>
      <c r="G53" s="8"/>
      <c r="H53" s="8"/>
      <c r="I53" s="6"/>
      <c r="J53" s="10" t="str">
        <f>IF(AND(B53="",C53=""),"",IF(OR(B53="",C53=""),"비용 설정 필요",IF(COUNTIFS('3_채널별_비용설정'!$C$6:$C$55,C53,'3_채널별_비용설정'!$D$6:$D$55,"&lt;="&amp;B53,'3_채널별_비용설정'!$O$6:$O$55,"&gt;="&amp;B53)=0,"비용 설정 필요",IF(COUNTIFS('3_채널별_비용설정'!$C$6:$C$55,C53,'3_채널별_비용설정'!$D$6:$D$55,"&lt;="&amp;B53,'3_채널별_비용설정'!$O$6:$O$55,"&gt;="&amp;B53)&gt;1,"기간 중복 확인","정상"))))</f>
      </c>
      <c r="K53" s="15" t="str">
        <f>IF(J53="","",IF(J53&lt;&gt;"정상","비용 설정 필요",SUMIFS('3_채널별_비용설정'!$F$6:$F$55,'3_채널별_비용설정'!$C$6:$C$55,C53,'3_채널별_비용설정'!$D$6:$D$55,"&lt;="&amp;B53,'3_채널별_비용설정'!$O$6:$O$55,"&gt;="&amp;B53)))</f>
      </c>
      <c r="L53" s="12" t="str">
        <f>IF(J53="","",IF(J53&lt;&gt;"정상","비용 설정 필요",ROUND(G53*K53,0)))</f>
      </c>
      <c r="M53" s="12" t="str">
        <f>IF(J53="","",IF(J53&lt;&gt;"정상","비용 설정 필요",SUMIFS('3_채널별_비용설정'!$L$6:$L$55,'3_채널별_비용설정'!$C$6:$C$55,C53,'3_채널별_비용설정'!$D$6:$D$55,"&lt;="&amp;B53,'3_채널별_비용설정'!$O$6:$O$55,"&gt;="&amp;B53)))</f>
      </c>
      <c r="N53" s="12" t="str">
        <f>IF(J53="","",IF(J53&lt;&gt;"정상","비용 설정 필요",SUMIFS('3_채널별_비용설정'!$M$6:$M$55,'3_채널별_비용설정'!$C$6:$C$55,C53,'3_채널별_비용설정'!$D$6:$D$55,"&lt;="&amp;B53,'3_채널별_비용설정'!$O$6:$O$55,"&gt;="&amp;B53)))</f>
      </c>
      <c r="O53" s="12" t="str">
        <f>IF(J53="","",IF(J53&lt;&gt;"정상","비용 설정 필요",(D53*M53)+(E53*N53)))</f>
      </c>
      <c r="P53" s="12" t="str">
        <f>IF(J53="","",IF(J53&lt;&gt;"정상","비용 설정 필요",L53+O53+H53))</f>
      </c>
      <c r="Q53" s="13" t="str">
        <f>IF(J53="","",IF(J53&lt;&gt;"정상","비용 설정 필요",G53-P53))</f>
      </c>
      <c r="R53" s="14" t="str">
        <f>IF(J53="","",IF(J53&lt;&gt;"정상","비용 설정 필요",IFERROR(Q53/G53,0)))</f>
      </c>
    </row>
    <row r="54">
      <c r="B54" s="7"/>
      <c r="C54" s="5"/>
      <c r="D54" s="8"/>
      <c r="E54" s="8"/>
      <c r="F54" s="12" t="str">
        <f>IF(AND(B54="",C54=""),"",SUM(D54:E54))</f>
      </c>
      <c r="G54" s="8"/>
      <c r="H54" s="8"/>
      <c r="I54" s="6"/>
      <c r="J54" s="10" t="str">
        <f>IF(AND(B54="",C54=""),"",IF(OR(B54="",C54=""),"비용 설정 필요",IF(COUNTIFS('3_채널별_비용설정'!$C$6:$C$55,C54,'3_채널별_비용설정'!$D$6:$D$55,"&lt;="&amp;B54,'3_채널별_비용설정'!$O$6:$O$55,"&gt;="&amp;B54)=0,"비용 설정 필요",IF(COUNTIFS('3_채널별_비용설정'!$C$6:$C$55,C54,'3_채널별_비용설정'!$D$6:$D$55,"&lt;="&amp;B54,'3_채널별_비용설정'!$O$6:$O$55,"&gt;="&amp;B54)&gt;1,"기간 중복 확인","정상"))))</f>
      </c>
      <c r="K54" s="15" t="str">
        <f>IF(J54="","",IF(J54&lt;&gt;"정상","비용 설정 필요",SUMIFS('3_채널별_비용설정'!$F$6:$F$55,'3_채널별_비용설정'!$C$6:$C$55,C54,'3_채널별_비용설정'!$D$6:$D$55,"&lt;="&amp;B54,'3_채널별_비용설정'!$O$6:$O$55,"&gt;="&amp;B54)))</f>
      </c>
      <c r="L54" s="12" t="str">
        <f>IF(J54="","",IF(J54&lt;&gt;"정상","비용 설정 필요",ROUND(G54*K54,0)))</f>
      </c>
      <c r="M54" s="12" t="str">
        <f>IF(J54="","",IF(J54&lt;&gt;"정상","비용 설정 필요",SUMIFS('3_채널별_비용설정'!$L$6:$L$55,'3_채널별_비용설정'!$C$6:$C$55,C54,'3_채널별_비용설정'!$D$6:$D$55,"&lt;="&amp;B54,'3_채널별_비용설정'!$O$6:$O$55,"&gt;="&amp;B54)))</f>
      </c>
      <c r="N54" s="12" t="str">
        <f>IF(J54="","",IF(J54&lt;&gt;"정상","비용 설정 필요",SUMIFS('3_채널별_비용설정'!$M$6:$M$55,'3_채널별_비용설정'!$C$6:$C$55,C54,'3_채널별_비용설정'!$D$6:$D$55,"&lt;="&amp;B54,'3_채널별_비용설정'!$O$6:$O$55,"&gt;="&amp;B54)))</f>
      </c>
      <c r="O54" s="12" t="str">
        <f>IF(J54="","",IF(J54&lt;&gt;"정상","비용 설정 필요",(D54*M54)+(E54*N54)))</f>
      </c>
      <c r="P54" s="12" t="str">
        <f>IF(J54="","",IF(J54&lt;&gt;"정상","비용 설정 필요",L54+O54+H54))</f>
      </c>
      <c r="Q54" s="13" t="str">
        <f>IF(J54="","",IF(J54&lt;&gt;"정상","비용 설정 필요",G54-P54))</f>
      </c>
      <c r="R54" s="14" t="str">
        <f>IF(J54="","",IF(J54&lt;&gt;"정상","비용 설정 필요",IFERROR(Q54/G54,0)))</f>
      </c>
    </row>
    <row r="55">
      <c r="B55" s="7"/>
      <c r="C55" s="5"/>
      <c r="D55" s="8"/>
      <c r="E55" s="8"/>
      <c r="F55" s="12" t="str">
        <f>IF(AND(B55="",C55=""),"",SUM(D55:E55))</f>
      </c>
      <c r="G55" s="8"/>
      <c r="H55" s="8"/>
      <c r="I55" s="6"/>
      <c r="J55" s="10" t="str">
        <f>IF(AND(B55="",C55=""),"",IF(OR(B55="",C55=""),"비용 설정 필요",IF(COUNTIFS('3_채널별_비용설정'!$C$6:$C$55,C55,'3_채널별_비용설정'!$D$6:$D$55,"&lt;="&amp;B55,'3_채널별_비용설정'!$O$6:$O$55,"&gt;="&amp;B55)=0,"비용 설정 필요",IF(COUNTIFS('3_채널별_비용설정'!$C$6:$C$55,C55,'3_채널별_비용설정'!$D$6:$D$55,"&lt;="&amp;B55,'3_채널별_비용설정'!$O$6:$O$55,"&gt;="&amp;B55)&gt;1,"기간 중복 확인","정상"))))</f>
      </c>
      <c r="K55" s="15" t="str">
        <f>IF(J55="","",IF(J55&lt;&gt;"정상","비용 설정 필요",SUMIFS('3_채널별_비용설정'!$F$6:$F$55,'3_채널별_비용설정'!$C$6:$C$55,C55,'3_채널별_비용설정'!$D$6:$D$55,"&lt;="&amp;B55,'3_채널별_비용설정'!$O$6:$O$55,"&gt;="&amp;B55)))</f>
      </c>
      <c r="L55" s="12" t="str">
        <f>IF(J55="","",IF(J55&lt;&gt;"정상","비용 설정 필요",ROUND(G55*K55,0)))</f>
      </c>
      <c r="M55" s="12" t="str">
        <f>IF(J55="","",IF(J55&lt;&gt;"정상","비용 설정 필요",SUMIFS('3_채널별_비용설정'!$L$6:$L$55,'3_채널별_비용설정'!$C$6:$C$55,C55,'3_채널별_비용설정'!$D$6:$D$55,"&lt;="&amp;B55,'3_채널별_비용설정'!$O$6:$O$55,"&gt;="&amp;B55)))</f>
      </c>
      <c r="N55" s="12" t="str">
        <f>IF(J55="","",IF(J55&lt;&gt;"정상","비용 설정 필요",SUMIFS('3_채널별_비용설정'!$M$6:$M$55,'3_채널별_비용설정'!$C$6:$C$55,C55,'3_채널별_비용설정'!$D$6:$D$55,"&lt;="&amp;B55,'3_채널별_비용설정'!$O$6:$O$55,"&gt;="&amp;B55)))</f>
      </c>
      <c r="O55" s="12" t="str">
        <f>IF(J55="","",IF(J55&lt;&gt;"정상","비용 설정 필요",(D55*M55)+(E55*N55)))</f>
      </c>
      <c r="P55" s="12" t="str">
        <f>IF(J55="","",IF(J55&lt;&gt;"정상","비용 설정 필요",L55+O55+H55))</f>
      </c>
      <c r="Q55" s="13" t="str">
        <f>IF(J55="","",IF(J55&lt;&gt;"정상","비용 설정 필요",G55-P55))</f>
      </c>
      <c r="R55" s="14" t="str">
        <f>IF(J55="","",IF(J55&lt;&gt;"정상","비용 설정 필요",IFERROR(Q55/G55,0)))</f>
      </c>
    </row>
    <row r="56">
      <c r="B56" s="7"/>
      <c r="C56" s="5"/>
      <c r="D56" s="8"/>
      <c r="E56" s="8"/>
      <c r="F56" s="12" t="str">
        <f>IF(AND(B56="",C56=""),"",SUM(D56:E56))</f>
      </c>
      <c r="G56" s="8"/>
      <c r="H56" s="8"/>
      <c r="I56" s="6"/>
      <c r="J56" s="10" t="str">
        <f>IF(AND(B56="",C56=""),"",IF(OR(B56="",C56=""),"비용 설정 필요",IF(COUNTIFS('3_채널별_비용설정'!$C$6:$C$55,C56,'3_채널별_비용설정'!$D$6:$D$55,"&lt;="&amp;B56,'3_채널별_비용설정'!$O$6:$O$55,"&gt;="&amp;B56)=0,"비용 설정 필요",IF(COUNTIFS('3_채널별_비용설정'!$C$6:$C$55,C56,'3_채널별_비용설정'!$D$6:$D$55,"&lt;="&amp;B56,'3_채널별_비용설정'!$O$6:$O$55,"&gt;="&amp;B56)&gt;1,"기간 중복 확인","정상"))))</f>
      </c>
      <c r="K56" s="15" t="str">
        <f>IF(J56="","",IF(J56&lt;&gt;"정상","비용 설정 필요",SUMIFS('3_채널별_비용설정'!$F$6:$F$55,'3_채널별_비용설정'!$C$6:$C$55,C56,'3_채널별_비용설정'!$D$6:$D$55,"&lt;="&amp;B56,'3_채널별_비용설정'!$O$6:$O$55,"&gt;="&amp;B56)))</f>
      </c>
      <c r="L56" s="12" t="str">
        <f>IF(J56="","",IF(J56&lt;&gt;"정상","비용 설정 필요",ROUND(G56*K56,0)))</f>
      </c>
      <c r="M56" s="12" t="str">
        <f>IF(J56="","",IF(J56&lt;&gt;"정상","비용 설정 필요",SUMIFS('3_채널별_비용설정'!$L$6:$L$55,'3_채널별_비용설정'!$C$6:$C$55,C56,'3_채널별_비용설정'!$D$6:$D$55,"&lt;="&amp;B56,'3_채널별_비용설정'!$O$6:$O$55,"&gt;="&amp;B56)))</f>
      </c>
      <c r="N56" s="12" t="str">
        <f>IF(J56="","",IF(J56&lt;&gt;"정상","비용 설정 필요",SUMIFS('3_채널별_비용설정'!$M$6:$M$55,'3_채널별_비용설정'!$C$6:$C$55,C56,'3_채널별_비용설정'!$D$6:$D$55,"&lt;="&amp;B56,'3_채널별_비용설정'!$O$6:$O$55,"&gt;="&amp;B56)))</f>
      </c>
      <c r="O56" s="12" t="str">
        <f>IF(J56="","",IF(J56&lt;&gt;"정상","비용 설정 필요",(D56*M56)+(E56*N56)))</f>
      </c>
      <c r="P56" s="12" t="str">
        <f>IF(J56="","",IF(J56&lt;&gt;"정상","비용 설정 필요",L56+O56+H56))</f>
      </c>
      <c r="Q56" s="13" t="str">
        <f>IF(J56="","",IF(J56&lt;&gt;"정상","비용 설정 필요",G56-P56))</f>
      </c>
      <c r="R56" s="14" t="str">
        <f>IF(J56="","",IF(J56&lt;&gt;"정상","비용 설정 필요",IFERROR(Q56/G56,0)))</f>
      </c>
    </row>
    <row r="57">
      <c r="B57" s="7"/>
      <c r="C57" s="5"/>
      <c r="D57" s="8"/>
      <c r="E57" s="8"/>
      <c r="F57" s="12" t="str">
        <f>IF(AND(B57="",C57=""),"",SUM(D57:E57))</f>
      </c>
      <c r="G57" s="8"/>
      <c r="H57" s="8"/>
      <c r="I57" s="6"/>
      <c r="J57" s="10" t="str">
        <f>IF(AND(B57="",C57=""),"",IF(OR(B57="",C57=""),"비용 설정 필요",IF(COUNTIFS('3_채널별_비용설정'!$C$6:$C$55,C57,'3_채널별_비용설정'!$D$6:$D$55,"&lt;="&amp;B57,'3_채널별_비용설정'!$O$6:$O$55,"&gt;="&amp;B57)=0,"비용 설정 필요",IF(COUNTIFS('3_채널별_비용설정'!$C$6:$C$55,C57,'3_채널별_비용설정'!$D$6:$D$55,"&lt;="&amp;B57,'3_채널별_비용설정'!$O$6:$O$55,"&gt;="&amp;B57)&gt;1,"기간 중복 확인","정상"))))</f>
      </c>
      <c r="K57" s="15" t="str">
        <f>IF(J57="","",IF(J57&lt;&gt;"정상","비용 설정 필요",SUMIFS('3_채널별_비용설정'!$F$6:$F$55,'3_채널별_비용설정'!$C$6:$C$55,C57,'3_채널별_비용설정'!$D$6:$D$55,"&lt;="&amp;B57,'3_채널별_비용설정'!$O$6:$O$55,"&gt;="&amp;B57)))</f>
      </c>
      <c r="L57" s="12" t="str">
        <f>IF(J57="","",IF(J57&lt;&gt;"정상","비용 설정 필요",ROUND(G57*K57,0)))</f>
      </c>
      <c r="M57" s="12" t="str">
        <f>IF(J57="","",IF(J57&lt;&gt;"정상","비용 설정 필요",SUMIFS('3_채널별_비용설정'!$L$6:$L$55,'3_채널별_비용설정'!$C$6:$C$55,C57,'3_채널별_비용설정'!$D$6:$D$55,"&lt;="&amp;B57,'3_채널별_비용설정'!$O$6:$O$55,"&gt;="&amp;B57)))</f>
      </c>
      <c r="N57" s="12" t="str">
        <f>IF(J57="","",IF(J57&lt;&gt;"정상","비용 설정 필요",SUMIFS('3_채널별_비용설정'!$M$6:$M$55,'3_채널별_비용설정'!$C$6:$C$55,C57,'3_채널별_비용설정'!$D$6:$D$55,"&lt;="&amp;B57,'3_채널별_비용설정'!$O$6:$O$55,"&gt;="&amp;B57)))</f>
      </c>
      <c r="O57" s="12" t="str">
        <f>IF(J57="","",IF(J57&lt;&gt;"정상","비용 설정 필요",(D57*M57)+(E57*N57)))</f>
      </c>
      <c r="P57" s="12" t="str">
        <f>IF(J57="","",IF(J57&lt;&gt;"정상","비용 설정 필요",L57+O57+H57))</f>
      </c>
      <c r="Q57" s="13" t="str">
        <f>IF(J57="","",IF(J57&lt;&gt;"정상","비용 설정 필요",G57-P57))</f>
      </c>
      <c r="R57" s="14" t="str">
        <f>IF(J57="","",IF(J57&lt;&gt;"정상","비용 설정 필요",IFERROR(Q57/G57,0)))</f>
      </c>
    </row>
    <row r="58">
      <c r="B58" s="7"/>
      <c r="C58" s="5"/>
      <c r="D58" s="8"/>
      <c r="E58" s="8"/>
      <c r="F58" s="12" t="str">
        <f>IF(AND(B58="",C58=""),"",SUM(D58:E58))</f>
      </c>
      <c r="G58" s="8"/>
      <c r="H58" s="8"/>
      <c r="I58" s="6"/>
      <c r="J58" s="10" t="str">
        <f>IF(AND(B58="",C58=""),"",IF(OR(B58="",C58=""),"비용 설정 필요",IF(COUNTIFS('3_채널별_비용설정'!$C$6:$C$55,C58,'3_채널별_비용설정'!$D$6:$D$55,"&lt;="&amp;B58,'3_채널별_비용설정'!$O$6:$O$55,"&gt;="&amp;B58)=0,"비용 설정 필요",IF(COUNTIFS('3_채널별_비용설정'!$C$6:$C$55,C58,'3_채널별_비용설정'!$D$6:$D$55,"&lt;="&amp;B58,'3_채널별_비용설정'!$O$6:$O$55,"&gt;="&amp;B58)&gt;1,"기간 중복 확인","정상"))))</f>
      </c>
      <c r="K58" s="15" t="str">
        <f>IF(J58="","",IF(J58&lt;&gt;"정상","비용 설정 필요",SUMIFS('3_채널별_비용설정'!$F$6:$F$55,'3_채널별_비용설정'!$C$6:$C$55,C58,'3_채널별_비용설정'!$D$6:$D$55,"&lt;="&amp;B58,'3_채널별_비용설정'!$O$6:$O$55,"&gt;="&amp;B58)))</f>
      </c>
      <c r="L58" s="12" t="str">
        <f>IF(J58="","",IF(J58&lt;&gt;"정상","비용 설정 필요",ROUND(G58*K58,0)))</f>
      </c>
      <c r="M58" s="12" t="str">
        <f>IF(J58="","",IF(J58&lt;&gt;"정상","비용 설정 필요",SUMIFS('3_채널별_비용설정'!$L$6:$L$55,'3_채널별_비용설정'!$C$6:$C$55,C58,'3_채널별_비용설정'!$D$6:$D$55,"&lt;="&amp;B58,'3_채널별_비용설정'!$O$6:$O$55,"&gt;="&amp;B58)))</f>
      </c>
      <c r="N58" s="12" t="str">
        <f>IF(J58="","",IF(J58&lt;&gt;"정상","비용 설정 필요",SUMIFS('3_채널별_비용설정'!$M$6:$M$55,'3_채널별_비용설정'!$C$6:$C$55,C58,'3_채널별_비용설정'!$D$6:$D$55,"&lt;="&amp;B58,'3_채널별_비용설정'!$O$6:$O$55,"&gt;="&amp;B58)))</f>
      </c>
      <c r="O58" s="12" t="str">
        <f>IF(J58="","",IF(J58&lt;&gt;"정상","비용 설정 필요",(D58*M58)+(E58*N58)))</f>
      </c>
      <c r="P58" s="12" t="str">
        <f>IF(J58="","",IF(J58&lt;&gt;"정상","비용 설정 필요",L58+O58+H58))</f>
      </c>
      <c r="Q58" s="13" t="str">
        <f>IF(J58="","",IF(J58&lt;&gt;"정상","비용 설정 필요",G58-P58))</f>
      </c>
      <c r="R58" s="14" t="str">
        <f>IF(J58="","",IF(J58&lt;&gt;"정상","비용 설정 필요",IFERROR(Q58/G58,0)))</f>
      </c>
    </row>
    <row r="59">
      <c r="B59" s="7"/>
      <c r="C59" s="5"/>
      <c r="D59" s="8"/>
      <c r="E59" s="8"/>
      <c r="F59" s="12" t="str">
        <f>IF(AND(B59="",C59=""),"",SUM(D59:E59))</f>
      </c>
      <c r="G59" s="8"/>
      <c r="H59" s="8"/>
      <c r="I59" s="6"/>
      <c r="J59" s="10" t="str">
        <f>IF(AND(B59="",C59=""),"",IF(OR(B59="",C59=""),"비용 설정 필요",IF(COUNTIFS('3_채널별_비용설정'!$C$6:$C$55,C59,'3_채널별_비용설정'!$D$6:$D$55,"&lt;="&amp;B59,'3_채널별_비용설정'!$O$6:$O$55,"&gt;="&amp;B59)=0,"비용 설정 필요",IF(COUNTIFS('3_채널별_비용설정'!$C$6:$C$55,C59,'3_채널별_비용설정'!$D$6:$D$55,"&lt;="&amp;B59,'3_채널별_비용설정'!$O$6:$O$55,"&gt;="&amp;B59)&gt;1,"기간 중복 확인","정상"))))</f>
      </c>
      <c r="K59" s="15" t="str">
        <f>IF(J59="","",IF(J59&lt;&gt;"정상","비용 설정 필요",SUMIFS('3_채널별_비용설정'!$F$6:$F$55,'3_채널별_비용설정'!$C$6:$C$55,C59,'3_채널별_비용설정'!$D$6:$D$55,"&lt;="&amp;B59,'3_채널별_비용설정'!$O$6:$O$55,"&gt;="&amp;B59)))</f>
      </c>
      <c r="L59" s="12" t="str">
        <f>IF(J59="","",IF(J59&lt;&gt;"정상","비용 설정 필요",ROUND(G59*K59,0)))</f>
      </c>
      <c r="M59" s="12" t="str">
        <f>IF(J59="","",IF(J59&lt;&gt;"정상","비용 설정 필요",SUMIFS('3_채널별_비용설정'!$L$6:$L$55,'3_채널별_비용설정'!$C$6:$C$55,C59,'3_채널별_비용설정'!$D$6:$D$55,"&lt;="&amp;B59,'3_채널별_비용설정'!$O$6:$O$55,"&gt;="&amp;B59)))</f>
      </c>
      <c r="N59" s="12" t="str">
        <f>IF(J59="","",IF(J59&lt;&gt;"정상","비용 설정 필요",SUMIFS('3_채널별_비용설정'!$M$6:$M$55,'3_채널별_비용설정'!$C$6:$C$55,C59,'3_채널별_비용설정'!$D$6:$D$55,"&lt;="&amp;B59,'3_채널별_비용설정'!$O$6:$O$55,"&gt;="&amp;B59)))</f>
      </c>
      <c r="O59" s="12" t="str">
        <f>IF(J59="","",IF(J59&lt;&gt;"정상","비용 설정 필요",(D59*M59)+(E59*N59)))</f>
      </c>
      <c r="P59" s="12" t="str">
        <f>IF(J59="","",IF(J59&lt;&gt;"정상","비용 설정 필요",L59+O59+H59))</f>
      </c>
      <c r="Q59" s="13" t="str">
        <f>IF(J59="","",IF(J59&lt;&gt;"정상","비용 설정 필요",G59-P59))</f>
      </c>
      <c r="R59" s="14" t="str">
        <f>IF(J59="","",IF(J59&lt;&gt;"정상","비용 설정 필요",IFERROR(Q59/G59,0)))</f>
      </c>
    </row>
    <row r="60">
      <c r="B60" s="7"/>
      <c r="C60" s="5"/>
      <c r="D60" s="8"/>
      <c r="E60" s="8"/>
      <c r="F60" s="12" t="str">
        <f>IF(AND(B60="",C60=""),"",SUM(D60:E60))</f>
      </c>
      <c r="G60" s="8"/>
      <c r="H60" s="8"/>
      <c r="I60" s="6"/>
      <c r="J60" s="10" t="str">
        <f>IF(AND(B60="",C60=""),"",IF(OR(B60="",C60=""),"비용 설정 필요",IF(COUNTIFS('3_채널별_비용설정'!$C$6:$C$55,C60,'3_채널별_비용설정'!$D$6:$D$55,"&lt;="&amp;B60,'3_채널별_비용설정'!$O$6:$O$55,"&gt;="&amp;B60)=0,"비용 설정 필요",IF(COUNTIFS('3_채널별_비용설정'!$C$6:$C$55,C60,'3_채널별_비용설정'!$D$6:$D$55,"&lt;="&amp;B60,'3_채널별_비용설정'!$O$6:$O$55,"&gt;="&amp;B60)&gt;1,"기간 중복 확인","정상"))))</f>
      </c>
      <c r="K60" s="15" t="str">
        <f>IF(J60="","",IF(J60&lt;&gt;"정상","비용 설정 필요",SUMIFS('3_채널별_비용설정'!$F$6:$F$55,'3_채널별_비용설정'!$C$6:$C$55,C60,'3_채널별_비용설정'!$D$6:$D$55,"&lt;="&amp;B60,'3_채널별_비용설정'!$O$6:$O$55,"&gt;="&amp;B60)))</f>
      </c>
      <c r="L60" s="12" t="str">
        <f>IF(J60="","",IF(J60&lt;&gt;"정상","비용 설정 필요",ROUND(G60*K60,0)))</f>
      </c>
      <c r="M60" s="12" t="str">
        <f>IF(J60="","",IF(J60&lt;&gt;"정상","비용 설정 필요",SUMIFS('3_채널별_비용설정'!$L$6:$L$55,'3_채널별_비용설정'!$C$6:$C$55,C60,'3_채널별_비용설정'!$D$6:$D$55,"&lt;="&amp;B60,'3_채널별_비용설정'!$O$6:$O$55,"&gt;="&amp;B60)))</f>
      </c>
      <c r="N60" s="12" t="str">
        <f>IF(J60="","",IF(J60&lt;&gt;"정상","비용 설정 필요",SUMIFS('3_채널별_비용설정'!$M$6:$M$55,'3_채널별_비용설정'!$C$6:$C$55,C60,'3_채널별_비용설정'!$D$6:$D$55,"&lt;="&amp;B60,'3_채널별_비용설정'!$O$6:$O$55,"&gt;="&amp;B60)))</f>
      </c>
      <c r="O60" s="12" t="str">
        <f>IF(J60="","",IF(J60&lt;&gt;"정상","비용 설정 필요",(D60*M60)+(E60*N60)))</f>
      </c>
      <c r="P60" s="12" t="str">
        <f>IF(J60="","",IF(J60&lt;&gt;"정상","비용 설정 필요",L60+O60+H60))</f>
      </c>
      <c r="Q60" s="13" t="str">
        <f>IF(J60="","",IF(J60&lt;&gt;"정상","비용 설정 필요",G60-P60))</f>
      </c>
      <c r="R60" s="14" t="str">
        <f>IF(J60="","",IF(J60&lt;&gt;"정상","비용 설정 필요",IFERROR(Q60/G60,0)))</f>
      </c>
    </row>
    <row r="61">
      <c r="B61" s="7"/>
      <c r="C61" s="5"/>
      <c r="D61" s="8"/>
      <c r="E61" s="8"/>
      <c r="F61" s="12" t="str">
        <f>IF(AND(B61="",C61=""),"",SUM(D61:E61))</f>
      </c>
      <c r="G61" s="8"/>
      <c r="H61" s="8"/>
      <c r="I61" s="6"/>
      <c r="J61" s="10" t="str">
        <f>IF(AND(B61="",C61=""),"",IF(OR(B61="",C61=""),"비용 설정 필요",IF(COUNTIFS('3_채널별_비용설정'!$C$6:$C$55,C61,'3_채널별_비용설정'!$D$6:$D$55,"&lt;="&amp;B61,'3_채널별_비용설정'!$O$6:$O$55,"&gt;="&amp;B61)=0,"비용 설정 필요",IF(COUNTIFS('3_채널별_비용설정'!$C$6:$C$55,C61,'3_채널별_비용설정'!$D$6:$D$55,"&lt;="&amp;B61,'3_채널별_비용설정'!$O$6:$O$55,"&gt;="&amp;B61)&gt;1,"기간 중복 확인","정상"))))</f>
      </c>
      <c r="K61" s="15" t="str">
        <f>IF(J61="","",IF(J61&lt;&gt;"정상","비용 설정 필요",SUMIFS('3_채널별_비용설정'!$F$6:$F$55,'3_채널별_비용설정'!$C$6:$C$55,C61,'3_채널별_비용설정'!$D$6:$D$55,"&lt;="&amp;B61,'3_채널별_비용설정'!$O$6:$O$55,"&gt;="&amp;B61)))</f>
      </c>
      <c r="L61" s="12" t="str">
        <f>IF(J61="","",IF(J61&lt;&gt;"정상","비용 설정 필요",ROUND(G61*K61,0)))</f>
      </c>
      <c r="M61" s="12" t="str">
        <f>IF(J61="","",IF(J61&lt;&gt;"정상","비용 설정 필요",SUMIFS('3_채널별_비용설정'!$L$6:$L$55,'3_채널별_비용설정'!$C$6:$C$55,C61,'3_채널별_비용설정'!$D$6:$D$55,"&lt;="&amp;B61,'3_채널별_비용설정'!$O$6:$O$55,"&gt;="&amp;B61)))</f>
      </c>
      <c r="N61" s="12" t="str">
        <f>IF(J61="","",IF(J61&lt;&gt;"정상","비용 설정 필요",SUMIFS('3_채널별_비용설정'!$M$6:$M$55,'3_채널별_비용설정'!$C$6:$C$55,C61,'3_채널별_비용설정'!$D$6:$D$55,"&lt;="&amp;B61,'3_채널별_비용설정'!$O$6:$O$55,"&gt;="&amp;B61)))</f>
      </c>
      <c r="O61" s="12" t="str">
        <f>IF(J61="","",IF(J61&lt;&gt;"정상","비용 설정 필요",(D61*M61)+(E61*N61)))</f>
      </c>
      <c r="P61" s="12" t="str">
        <f>IF(J61="","",IF(J61&lt;&gt;"정상","비용 설정 필요",L61+O61+H61))</f>
      </c>
      <c r="Q61" s="13" t="str">
        <f>IF(J61="","",IF(J61&lt;&gt;"정상","비용 설정 필요",G61-P61))</f>
      </c>
      <c r="R61" s="14" t="str">
        <f>IF(J61="","",IF(J61&lt;&gt;"정상","비용 설정 필요",IFERROR(Q61/G61,0)))</f>
      </c>
    </row>
    <row r="62">
      <c r="B62" s="7"/>
      <c r="C62" s="5"/>
      <c r="D62" s="8"/>
      <c r="E62" s="8"/>
      <c r="F62" s="12" t="str">
        <f>IF(AND(B62="",C62=""),"",SUM(D62:E62))</f>
      </c>
      <c r="G62" s="8"/>
      <c r="H62" s="8"/>
      <c r="I62" s="6"/>
      <c r="J62" s="10" t="str">
        <f>IF(AND(B62="",C62=""),"",IF(OR(B62="",C62=""),"비용 설정 필요",IF(COUNTIFS('3_채널별_비용설정'!$C$6:$C$55,C62,'3_채널별_비용설정'!$D$6:$D$55,"&lt;="&amp;B62,'3_채널별_비용설정'!$O$6:$O$55,"&gt;="&amp;B62)=0,"비용 설정 필요",IF(COUNTIFS('3_채널별_비용설정'!$C$6:$C$55,C62,'3_채널별_비용설정'!$D$6:$D$55,"&lt;="&amp;B62,'3_채널별_비용설정'!$O$6:$O$55,"&gt;="&amp;B62)&gt;1,"기간 중복 확인","정상"))))</f>
      </c>
      <c r="K62" s="15" t="str">
        <f>IF(J62="","",IF(J62&lt;&gt;"정상","비용 설정 필요",SUMIFS('3_채널별_비용설정'!$F$6:$F$55,'3_채널별_비용설정'!$C$6:$C$55,C62,'3_채널별_비용설정'!$D$6:$D$55,"&lt;="&amp;B62,'3_채널별_비용설정'!$O$6:$O$55,"&gt;="&amp;B62)))</f>
      </c>
      <c r="L62" s="12" t="str">
        <f>IF(J62="","",IF(J62&lt;&gt;"정상","비용 설정 필요",ROUND(G62*K62,0)))</f>
      </c>
      <c r="M62" s="12" t="str">
        <f>IF(J62="","",IF(J62&lt;&gt;"정상","비용 설정 필요",SUMIFS('3_채널별_비용설정'!$L$6:$L$55,'3_채널별_비용설정'!$C$6:$C$55,C62,'3_채널별_비용설정'!$D$6:$D$55,"&lt;="&amp;B62,'3_채널별_비용설정'!$O$6:$O$55,"&gt;="&amp;B62)))</f>
      </c>
      <c r="N62" s="12" t="str">
        <f>IF(J62="","",IF(J62&lt;&gt;"정상","비용 설정 필요",SUMIFS('3_채널별_비용설정'!$M$6:$M$55,'3_채널별_비용설정'!$C$6:$C$55,C62,'3_채널별_비용설정'!$D$6:$D$55,"&lt;="&amp;B62,'3_채널별_비용설정'!$O$6:$O$55,"&gt;="&amp;B62)))</f>
      </c>
      <c r="O62" s="12" t="str">
        <f>IF(J62="","",IF(J62&lt;&gt;"정상","비용 설정 필요",(D62*M62)+(E62*N62)))</f>
      </c>
      <c r="P62" s="12" t="str">
        <f>IF(J62="","",IF(J62&lt;&gt;"정상","비용 설정 필요",L62+O62+H62))</f>
      </c>
      <c r="Q62" s="13" t="str">
        <f>IF(J62="","",IF(J62&lt;&gt;"정상","비용 설정 필요",G62-P62))</f>
      </c>
      <c r="R62" s="14" t="str">
        <f>IF(J62="","",IF(J62&lt;&gt;"정상","비용 설정 필요",IFERROR(Q62/G62,0)))</f>
      </c>
    </row>
    <row r="63">
      <c r="B63" s="7"/>
      <c r="C63" s="5"/>
      <c r="D63" s="8"/>
      <c r="E63" s="8"/>
      <c r="F63" s="12" t="str">
        <f>IF(AND(B63="",C63=""),"",SUM(D63:E63))</f>
      </c>
      <c r="G63" s="8"/>
      <c r="H63" s="8"/>
      <c r="I63" s="6"/>
      <c r="J63" s="10" t="str">
        <f>IF(AND(B63="",C63=""),"",IF(OR(B63="",C63=""),"비용 설정 필요",IF(COUNTIFS('3_채널별_비용설정'!$C$6:$C$55,C63,'3_채널별_비용설정'!$D$6:$D$55,"&lt;="&amp;B63,'3_채널별_비용설정'!$O$6:$O$55,"&gt;="&amp;B63)=0,"비용 설정 필요",IF(COUNTIFS('3_채널별_비용설정'!$C$6:$C$55,C63,'3_채널별_비용설정'!$D$6:$D$55,"&lt;="&amp;B63,'3_채널별_비용설정'!$O$6:$O$55,"&gt;="&amp;B63)&gt;1,"기간 중복 확인","정상"))))</f>
      </c>
      <c r="K63" s="15" t="str">
        <f>IF(J63="","",IF(J63&lt;&gt;"정상","비용 설정 필요",SUMIFS('3_채널별_비용설정'!$F$6:$F$55,'3_채널별_비용설정'!$C$6:$C$55,C63,'3_채널별_비용설정'!$D$6:$D$55,"&lt;="&amp;B63,'3_채널별_비용설정'!$O$6:$O$55,"&gt;="&amp;B63)))</f>
      </c>
      <c r="L63" s="12" t="str">
        <f>IF(J63="","",IF(J63&lt;&gt;"정상","비용 설정 필요",ROUND(G63*K63,0)))</f>
      </c>
      <c r="M63" s="12" t="str">
        <f>IF(J63="","",IF(J63&lt;&gt;"정상","비용 설정 필요",SUMIFS('3_채널별_비용설정'!$L$6:$L$55,'3_채널별_비용설정'!$C$6:$C$55,C63,'3_채널별_비용설정'!$D$6:$D$55,"&lt;="&amp;B63,'3_채널별_비용설정'!$O$6:$O$55,"&gt;="&amp;B63)))</f>
      </c>
      <c r="N63" s="12" t="str">
        <f>IF(J63="","",IF(J63&lt;&gt;"정상","비용 설정 필요",SUMIFS('3_채널별_비용설정'!$M$6:$M$55,'3_채널별_비용설정'!$C$6:$C$55,C63,'3_채널별_비용설정'!$D$6:$D$55,"&lt;="&amp;B63,'3_채널별_비용설정'!$O$6:$O$55,"&gt;="&amp;B63)))</f>
      </c>
      <c r="O63" s="12" t="str">
        <f>IF(J63="","",IF(J63&lt;&gt;"정상","비용 설정 필요",(D63*M63)+(E63*N63)))</f>
      </c>
      <c r="P63" s="12" t="str">
        <f>IF(J63="","",IF(J63&lt;&gt;"정상","비용 설정 필요",L63+O63+H63))</f>
      </c>
      <c r="Q63" s="13" t="str">
        <f>IF(J63="","",IF(J63&lt;&gt;"정상","비용 설정 필요",G63-P63))</f>
      </c>
      <c r="R63" s="14" t="str">
        <f>IF(J63="","",IF(J63&lt;&gt;"정상","비용 설정 필요",IFERROR(Q63/G63,0)))</f>
      </c>
    </row>
    <row r="64">
      <c r="B64" s="7"/>
      <c r="C64" s="5"/>
      <c r="D64" s="8"/>
      <c r="E64" s="8"/>
      <c r="F64" s="12" t="str">
        <f>IF(AND(B64="",C64=""),"",SUM(D64:E64))</f>
      </c>
      <c r="G64" s="8"/>
      <c r="H64" s="8"/>
      <c r="I64" s="6"/>
      <c r="J64" s="10" t="str">
        <f>IF(AND(B64="",C64=""),"",IF(OR(B64="",C64=""),"비용 설정 필요",IF(COUNTIFS('3_채널별_비용설정'!$C$6:$C$55,C64,'3_채널별_비용설정'!$D$6:$D$55,"&lt;="&amp;B64,'3_채널별_비용설정'!$O$6:$O$55,"&gt;="&amp;B64)=0,"비용 설정 필요",IF(COUNTIFS('3_채널별_비용설정'!$C$6:$C$55,C64,'3_채널별_비용설정'!$D$6:$D$55,"&lt;="&amp;B64,'3_채널별_비용설정'!$O$6:$O$55,"&gt;="&amp;B64)&gt;1,"기간 중복 확인","정상"))))</f>
      </c>
      <c r="K64" s="15" t="str">
        <f>IF(J64="","",IF(J64&lt;&gt;"정상","비용 설정 필요",SUMIFS('3_채널별_비용설정'!$F$6:$F$55,'3_채널별_비용설정'!$C$6:$C$55,C64,'3_채널별_비용설정'!$D$6:$D$55,"&lt;="&amp;B64,'3_채널별_비용설정'!$O$6:$O$55,"&gt;="&amp;B64)))</f>
      </c>
      <c r="L64" s="12" t="str">
        <f>IF(J64="","",IF(J64&lt;&gt;"정상","비용 설정 필요",ROUND(G64*K64,0)))</f>
      </c>
      <c r="M64" s="12" t="str">
        <f>IF(J64="","",IF(J64&lt;&gt;"정상","비용 설정 필요",SUMIFS('3_채널별_비용설정'!$L$6:$L$55,'3_채널별_비용설정'!$C$6:$C$55,C64,'3_채널별_비용설정'!$D$6:$D$55,"&lt;="&amp;B64,'3_채널별_비용설정'!$O$6:$O$55,"&gt;="&amp;B64)))</f>
      </c>
      <c r="N64" s="12" t="str">
        <f>IF(J64="","",IF(J64&lt;&gt;"정상","비용 설정 필요",SUMIFS('3_채널별_비용설정'!$M$6:$M$55,'3_채널별_비용설정'!$C$6:$C$55,C64,'3_채널별_비용설정'!$D$6:$D$55,"&lt;="&amp;B64,'3_채널별_비용설정'!$O$6:$O$55,"&gt;="&amp;B64)))</f>
      </c>
      <c r="O64" s="12" t="str">
        <f>IF(J64="","",IF(J64&lt;&gt;"정상","비용 설정 필요",(D64*M64)+(E64*N64)))</f>
      </c>
      <c r="P64" s="12" t="str">
        <f>IF(J64="","",IF(J64&lt;&gt;"정상","비용 설정 필요",L64+O64+H64))</f>
      </c>
      <c r="Q64" s="13" t="str">
        <f>IF(J64="","",IF(J64&lt;&gt;"정상","비용 설정 필요",G64-P64))</f>
      </c>
      <c r="R64" s="14" t="str">
        <f>IF(J64="","",IF(J64&lt;&gt;"정상","비용 설정 필요",IFERROR(Q64/G64,0)))</f>
      </c>
    </row>
    <row r="65">
      <c r="B65" s="7"/>
      <c r="C65" s="5"/>
      <c r="D65" s="8"/>
      <c r="E65" s="8"/>
      <c r="F65" s="12" t="str">
        <f>IF(AND(B65="",C65=""),"",SUM(D65:E65))</f>
      </c>
      <c r="G65" s="8"/>
      <c r="H65" s="8"/>
      <c r="I65" s="6"/>
      <c r="J65" s="10" t="str">
        <f>IF(AND(B65="",C65=""),"",IF(OR(B65="",C65=""),"비용 설정 필요",IF(COUNTIFS('3_채널별_비용설정'!$C$6:$C$55,C65,'3_채널별_비용설정'!$D$6:$D$55,"&lt;="&amp;B65,'3_채널별_비용설정'!$O$6:$O$55,"&gt;="&amp;B65)=0,"비용 설정 필요",IF(COUNTIFS('3_채널별_비용설정'!$C$6:$C$55,C65,'3_채널별_비용설정'!$D$6:$D$55,"&lt;="&amp;B65,'3_채널별_비용설정'!$O$6:$O$55,"&gt;="&amp;B65)&gt;1,"기간 중복 확인","정상"))))</f>
      </c>
      <c r="K65" s="15" t="str">
        <f>IF(J65="","",IF(J65&lt;&gt;"정상","비용 설정 필요",SUMIFS('3_채널별_비용설정'!$F$6:$F$55,'3_채널별_비용설정'!$C$6:$C$55,C65,'3_채널별_비용설정'!$D$6:$D$55,"&lt;="&amp;B65,'3_채널별_비용설정'!$O$6:$O$55,"&gt;="&amp;B65)))</f>
      </c>
      <c r="L65" s="12" t="str">
        <f>IF(J65="","",IF(J65&lt;&gt;"정상","비용 설정 필요",ROUND(G65*K65,0)))</f>
      </c>
      <c r="M65" s="12" t="str">
        <f>IF(J65="","",IF(J65&lt;&gt;"정상","비용 설정 필요",SUMIFS('3_채널별_비용설정'!$L$6:$L$55,'3_채널별_비용설정'!$C$6:$C$55,C65,'3_채널별_비용설정'!$D$6:$D$55,"&lt;="&amp;B65,'3_채널별_비용설정'!$O$6:$O$55,"&gt;="&amp;B65)))</f>
      </c>
      <c r="N65" s="12" t="str">
        <f>IF(J65="","",IF(J65&lt;&gt;"정상","비용 설정 필요",SUMIFS('3_채널별_비용설정'!$M$6:$M$55,'3_채널별_비용설정'!$C$6:$C$55,C65,'3_채널별_비용설정'!$D$6:$D$55,"&lt;="&amp;B65,'3_채널별_비용설정'!$O$6:$O$55,"&gt;="&amp;B65)))</f>
      </c>
      <c r="O65" s="12" t="str">
        <f>IF(J65="","",IF(J65&lt;&gt;"정상","비용 설정 필요",(D65*M65)+(E65*N65)))</f>
      </c>
      <c r="P65" s="12" t="str">
        <f>IF(J65="","",IF(J65&lt;&gt;"정상","비용 설정 필요",L65+O65+H65))</f>
      </c>
      <c r="Q65" s="13" t="str">
        <f>IF(J65="","",IF(J65&lt;&gt;"정상","비용 설정 필요",G65-P65))</f>
      </c>
      <c r="R65" s="14" t="str">
        <f>IF(J65="","",IF(J65&lt;&gt;"정상","비용 설정 필요",IFERROR(Q65/G65,0)))</f>
      </c>
    </row>
    <row r="66">
      <c r="B66" s="7"/>
      <c r="C66" s="5"/>
      <c r="D66" s="8"/>
      <c r="E66" s="8"/>
      <c r="F66" s="12" t="str">
        <f>IF(AND(B66="",C66=""),"",SUM(D66:E66))</f>
      </c>
      <c r="G66" s="8"/>
      <c r="H66" s="8"/>
      <c r="I66" s="6"/>
      <c r="J66" s="10" t="str">
        <f>IF(AND(B66="",C66=""),"",IF(OR(B66="",C66=""),"비용 설정 필요",IF(COUNTIFS('3_채널별_비용설정'!$C$6:$C$55,C66,'3_채널별_비용설정'!$D$6:$D$55,"&lt;="&amp;B66,'3_채널별_비용설정'!$O$6:$O$55,"&gt;="&amp;B66)=0,"비용 설정 필요",IF(COUNTIFS('3_채널별_비용설정'!$C$6:$C$55,C66,'3_채널별_비용설정'!$D$6:$D$55,"&lt;="&amp;B66,'3_채널별_비용설정'!$O$6:$O$55,"&gt;="&amp;B66)&gt;1,"기간 중복 확인","정상"))))</f>
      </c>
      <c r="K66" s="15" t="str">
        <f>IF(J66="","",IF(J66&lt;&gt;"정상","비용 설정 필요",SUMIFS('3_채널별_비용설정'!$F$6:$F$55,'3_채널별_비용설정'!$C$6:$C$55,C66,'3_채널별_비용설정'!$D$6:$D$55,"&lt;="&amp;B66,'3_채널별_비용설정'!$O$6:$O$55,"&gt;="&amp;B66)))</f>
      </c>
      <c r="L66" s="12" t="str">
        <f>IF(J66="","",IF(J66&lt;&gt;"정상","비용 설정 필요",ROUND(G66*K66,0)))</f>
      </c>
      <c r="M66" s="12" t="str">
        <f>IF(J66="","",IF(J66&lt;&gt;"정상","비용 설정 필요",SUMIFS('3_채널별_비용설정'!$L$6:$L$55,'3_채널별_비용설정'!$C$6:$C$55,C66,'3_채널별_비용설정'!$D$6:$D$55,"&lt;="&amp;B66,'3_채널별_비용설정'!$O$6:$O$55,"&gt;="&amp;B66)))</f>
      </c>
      <c r="N66" s="12" t="str">
        <f>IF(J66="","",IF(J66&lt;&gt;"정상","비용 설정 필요",SUMIFS('3_채널별_비용설정'!$M$6:$M$55,'3_채널별_비용설정'!$C$6:$C$55,C66,'3_채널별_비용설정'!$D$6:$D$55,"&lt;="&amp;B66,'3_채널별_비용설정'!$O$6:$O$55,"&gt;="&amp;B66)))</f>
      </c>
      <c r="O66" s="12" t="str">
        <f>IF(J66="","",IF(J66&lt;&gt;"정상","비용 설정 필요",(D66*M66)+(E66*N66)))</f>
      </c>
      <c r="P66" s="12" t="str">
        <f>IF(J66="","",IF(J66&lt;&gt;"정상","비용 설정 필요",L66+O66+H66))</f>
      </c>
      <c r="Q66" s="13" t="str">
        <f>IF(J66="","",IF(J66&lt;&gt;"정상","비용 설정 필요",G66-P66))</f>
      </c>
      <c r="R66" s="14" t="str">
        <f>IF(J66="","",IF(J66&lt;&gt;"정상","비용 설정 필요",IFERROR(Q66/G66,0)))</f>
      </c>
    </row>
    <row r="67">
      <c r="B67" s="7"/>
      <c r="C67" s="5"/>
      <c r="D67" s="8"/>
      <c r="E67" s="8"/>
      <c r="F67" s="12" t="str">
        <f>IF(AND(B67="",C67=""),"",SUM(D67:E67))</f>
      </c>
      <c r="G67" s="8"/>
      <c r="H67" s="8"/>
      <c r="I67" s="6"/>
      <c r="J67" s="10" t="str">
        <f>IF(AND(B67="",C67=""),"",IF(OR(B67="",C67=""),"비용 설정 필요",IF(COUNTIFS('3_채널별_비용설정'!$C$6:$C$55,C67,'3_채널별_비용설정'!$D$6:$D$55,"&lt;="&amp;B67,'3_채널별_비용설정'!$O$6:$O$55,"&gt;="&amp;B67)=0,"비용 설정 필요",IF(COUNTIFS('3_채널별_비용설정'!$C$6:$C$55,C67,'3_채널별_비용설정'!$D$6:$D$55,"&lt;="&amp;B67,'3_채널별_비용설정'!$O$6:$O$55,"&gt;="&amp;B67)&gt;1,"기간 중복 확인","정상"))))</f>
      </c>
      <c r="K67" s="15" t="str">
        <f>IF(J67="","",IF(J67&lt;&gt;"정상","비용 설정 필요",SUMIFS('3_채널별_비용설정'!$F$6:$F$55,'3_채널별_비용설정'!$C$6:$C$55,C67,'3_채널별_비용설정'!$D$6:$D$55,"&lt;="&amp;B67,'3_채널별_비용설정'!$O$6:$O$55,"&gt;="&amp;B67)))</f>
      </c>
      <c r="L67" s="12" t="str">
        <f>IF(J67="","",IF(J67&lt;&gt;"정상","비용 설정 필요",ROUND(G67*K67,0)))</f>
      </c>
      <c r="M67" s="12" t="str">
        <f>IF(J67="","",IF(J67&lt;&gt;"정상","비용 설정 필요",SUMIFS('3_채널별_비용설정'!$L$6:$L$55,'3_채널별_비용설정'!$C$6:$C$55,C67,'3_채널별_비용설정'!$D$6:$D$55,"&lt;="&amp;B67,'3_채널별_비용설정'!$O$6:$O$55,"&gt;="&amp;B67)))</f>
      </c>
      <c r="N67" s="12" t="str">
        <f>IF(J67="","",IF(J67&lt;&gt;"정상","비용 설정 필요",SUMIFS('3_채널별_비용설정'!$M$6:$M$55,'3_채널별_비용설정'!$C$6:$C$55,C67,'3_채널별_비용설정'!$D$6:$D$55,"&lt;="&amp;B67,'3_채널별_비용설정'!$O$6:$O$55,"&gt;="&amp;B67)))</f>
      </c>
      <c r="O67" s="12" t="str">
        <f>IF(J67="","",IF(J67&lt;&gt;"정상","비용 설정 필요",(D67*M67)+(E67*N67)))</f>
      </c>
      <c r="P67" s="12" t="str">
        <f>IF(J67="","",IF(J67&lt;&gt;"정상","비용 설정 필요",L67+O67+H67))</f>
      </c>
      <c r="Q67" s="13" t="str">
        <f>IF(J67="","",IF(J67&lt;&gt;"정상","비용 설정 필요",G67-P67))</f>
      </c>
      <c r="R67" s="14" t="str">
        <f>IF(J67="","",IF(J67&lt;&gt;"정상","비용 설정 필요",IFERROR(Q67/G67,0)))</f>
      </c>
    </row>
    <row r="68">
      <c r="B68" s="7"/>
      <c r="C68" s="5"/>
      <c r="D68" s="8"/>
      <c r="E68" s="8"/>
      <c r="F68" s="12" t="str">
        <f>IF(AND(B68="",C68=""),"",SUM(D68:E68))</f>
      </c>
      <c r="G68" s="8"/>
      <c r="H68" s="8"/>
      <c r="I68" s="6"/>
      <c r="J68" s="10" t="str">
        <f>IF(AND(B68="",C68=""),"",IF(OR(B68="",C68=""),"비용 설정 필요",IF(COUNTIFS('3_채널별_비용설정'!$C$6:$C$55,C68,'3_채널별_비용설정'!$D$6:$D$55,"&lt;="&amp;B68,'3_채널별_비용설정'!$O$6:$O$55,"&gt;="&amp;B68)=0,"비용 설정 필요",IF(COUNTIFS('3_채널별_비용설정'!$C$6:$C$55,C68,'3_채널별_비용설정'!$D$6:$D$55,"&lt;="&amp;B68,'3_채널별_비용설정'!$O$6:$O$55,"&gt;="&amp;B68)&gt;1,"기간 중복 확인","정상"))))</f>
      </c>
      <c r="K68" s="15" t="str">
        <f>IF(J68="","",IF(J68&lt;&gt;"정상","비용 설정 필요",SUMIFS('3_채널별_비용설정'!$F$6:$F$55,'3_채널별_비용설정'!$C$6:$C$55,C68,'3_채널별_비용설정'!$D$6:$D$55,"&lt;="&amp;B68,'3_채널별_비용설정'!$O$6:$O$55,"&gt;="&amp;B68)))</f>
      </c>
      <c r="L68" s="12" t="str">
        <f>IF(J68="","",IF(J68&lt;&gt;"정상","비용 설정 필요",ROUND(G68*K68,0)))</f>
      </c>
      <c r="M68" s="12" t="str">
        <f>IF(J68="","",IF(J68&lt;&gt;"정상","비용 설정 필요",SUMIFS('3_채널별_비용설정'!$L$6:$L$55,'3_채널별_비용설정'!$C$6:$C$55,C68,'3_채널별_비용설정'!$D$6:$D$55,"&lt;="&amp;B68,'3_채널별_비용설정'!$O$6:$O$55,"&gt;="&amp;B68)))</f>
      </c>
      <c r="N68" s="12" t="str">
        <f>IF(J68="","",IF(J68&lt;&gt;"정상","비용 설정 필요",SUMIFS('3_채널별_비용설정'!$M$6:$M$55,'3_채널별_비용설정'!$C$6:$C$55,C68,'3_채널별_비용설정'!$D$6:$D$55,"&lt;="&amp;B68,'3_채널별_비용설정'!$O$6:$O$55,"&gt;="&amp;B68)))</f>
      </c>
      <c r="O68" s="12" t="str">
        <f>IF(J68="","",IF(J68&lt;&gt;"정상","비용 설정 필요",(D68*M68)+(E68*N68)))</f>
      </c>
      <c r="P68" s="12" t="str">
        <f>IF(J68="","",IF(J68&lt;&gt;"정상","비용 설정 필요",L68+O68+H68))</f>
      </c>
      <c r="Q68" s="13" t="str">
        <f>IF(J68="","",IF(J68&lt;&gt;"정상","비용 설정 필요",G68-P68))</f>
      </c>
      <c r="R68" s="14" t="str">
        <f>IF(J68="","",IF(J68&lt;&gt;"정상","비용 설정 필요",IFERROR(Q68/G68,0)))</f>
      </c>
    </row>
    <row r="69">
      <c r="B69" s="7"/>
      <c r="C69" s="5"/>
      <c r="D69" s="8"/>
      <c r="E69" s="8"/>
      <c r="F69" s="12" t="str">
        <f>IF(AND(B69="",C69=""),"",SUM(D69:E69))</f>
      </c>
      <c r="G69" s="8"/>
      <c r="H69" s="8"/>
      <c r="I69" s="6"/>
      <c r="J69" s="10" t="str">
        <f>IF(AND(B69="",C69=""),"",IF(OR(B69="",C69=""),"비용 설정 필요",IF(COUNTIFS('3_채널별_비용설정'!$C$6:$C$55,C69,'3_채널별_비용설정'!$D$6:$D$55,"&lt;="&amp;B69,'3_채널별_비용설정'!$O$6:$O$55,"&gt;="&amp;B69)=0,"비용 설정 필요",IF(COUNTIFS('3_채널별_비용설정'!$C$6:$C$55,C69,'3_채널별_비용설정'!$D$6:$D$55,"&lt;="&amp;B69,'3_채널별_비용설정'!$O$6:$O$55,"&gt;="&amp;B69)&gt;1,"기간 중복 확인","정상"))))</f>
      </c>
      <c r="K69" s="15" t="str">
        <f>IF(J69="","",IF(J69&lt;&gt;"정상","비용 설정 필요",SUMIFS('3_채널별_비용설정'!$F$6:$F$55,'3_채널별_비용설정'!$C$6:$C$55,C69,'3_채널별_비용설정'!$D$6:$D$55,"&lt;="&amp;B69,'3_채널별_비용설정'!$O$6:$O$55,"&gt;="&amp;B69)))</f>
      </c>
      <c r="L69" s="12" t="str">
        <f>IF(J69="","",IF(J69&lt;&gt;"정상","비용 설정 필요",ROUND(G69*K69,0)))</f>
      </c>
      <c r="M69" s="12" t="str">
        <f>IF(J69="","",IF(J69&lt;&gt;"정상","비용 설정 필요",SUMIFS('3_채널별_비용설정'!$L$6:$L$55,'3_채널별_비용설정'!$C$6:$C$55,C69,'3_채널별_비용설정'!$D$6:$D$55,"&lt;="&amp;B69,'3_채널별_비용설정'!$O$6:$O$55,"&gt;="&amp;B69)))</f>
      </c>
      <c r="N69" s="12" t="str">
        <f>IF(J69="","",IF(J69&lt;&gt;"정상","비용 설정 필요",SUMIFS('3_채널별_비용설정'!$M$6:$M$55,'3_채널별_비용설정'!$C$6:$C$55,C69,'3_채널별_비용설정'!$D$6:$D$55,"&lt;="&amp;B69,'3_채널별_비용설정'!$O$6:$O$55,"&gt;="&amp;B69)))</f>
      </c>
      <c r="O69" s="12" t="str">
        <f>IF(J69="","",IF(J69&lt;&gt;"정상","비용 설정 필요",(D69*M69)+(E69*N69)))</f>
      </c>
      <c r="P69" s="12" t="str">
        <f>IF(J69="","",IF(J69&lt;&gt;"정상","비용 설정 필요",L69+O69+H69))</f>
      </c>
      <c r="Q69" s="13" t="str">
        <f>IF(J69="","",IF(J69&lt;&gt;"정상","비용 설정 필요",G69-P69))</f>
      </c>
      <c r="R69" s="14" t="str">
        <f>IF(J69="","",IF(J69&lt;&gt;"정상","비용 설정 필요",IFERROR(Q69/G69,0)))</f>
      </c>
    </row>
    <row r="70">
      <c r="B70" s="7"/>
      <c r="C70" s="5"/>
      <c r="D70" s="8"/>
      <c r="E70" s="8"/>
      <c r="F70" s="12" t="str">
        <f>IF(AND(B70="",C70=""),"",SUM(D70:E70))</f>
      </c>
      <c r="G70" s="8"/>
      <c r="H70" s="8"/>
      <c r="I70" s="6"/>
      <c r="J70" s="10" t="str">
        <f>IF(AND(B70="",C70=""),"",IF(OR(B70="",C70=""),"비용 설정 필요",IF(COUNTIFS('3_채널별_비용설정'!$C$6:$C$55,C70,'3_채널별_비용설정'!$D$6:$D$55,"&lt;="&amp;B70,'3_채널별_비용설정'!$O$6:$O$55,"&gt;="&amp;B70)=0,"비용 설정 필요",IF(COUNTIFS('3_채널별_비용설정'!$C$6:$C$55,C70,'3_채널별_비용설정'!$D$6:$D$55,"&lt;="&amp;B70,'3_채널별_비용설정'!$O$6:$O$55,"&gt;="&amp;B70)&gt;1,"기간 중복 확인","정상"))))</f>
      </c>
      <c r="K70" s="15" t="str">
        <f>IF(J70="","",IF(J70&lt;&gt;"정상","비용 설정 필요",SUMIFS('3_채널별_비용설정'!$F$6:$F$55,'3_채널별_비용설정'!$C$6:$C$55,C70,'3_채널별_비용설정'!$D$6:$D$55,"&lt;="&amp;B70,'3_채널별_비용설정'!$O$6:$O$55,"&gt;="&amp;B70)))</f>
      </c>
      <c r="L70" s="12" t="str">
        <f>IF(J70="","",IF(J70&lt;&gt;"정상","비용 설정 필요",ROUND(G70*K70,0)))</f>
      </c>
      <c r="M70" s="12" t="str">
        <f>IF(J70="","",IF(J70&lt;&gt;"정상","비용 설정 필요",SUMIFS('3_채널별_비용설정'!$L$6:$L$55,'3_채널별_비용설정'!$C$6:$C$55,C70,'3_채널별_비용설정'!$D$6:$D$55,"&lt;="&amp;B70,'3_채널별_비용설정'!$O$6:$O$55,"&gt;="&amp;B70)))</f>
      </c>
      <c r="N70" s="12" t="str">
        <f>IF(J70="","",IF(J70&lt;&gt;"정상","비용 설정 필요",SUMIFS('3_채널별_비용설정'!$M$6:$M$55,'3_채널별_비용설정'!$C$6:$C$55,C70,'3_채널별_비용설정'!$D$6:$D$55,"&lt;="&amp;B70,'3_채널별_비용설정'!$O$6:$O$55,"&gt;="&amp;B70)))</f>
      </c>
      <c r="O70" s="12" t="str">
        <f>IF(J70="","",IF(J70&lt;&gt;"정상","비용 설정 필요",(D70*M70)+(E70*N70)))</f>
      </c>
      <c r="P70" s="12" t="str">
        <f>IF(J70="","",IF(J70&lt;&gt;"정상","비용 설정 필요",L70+O70+H70))</f>
      </c>
      <c r="Q70" s="13" t="str">
        <f>IF(J70="","",IF(J70&lt;&gt;"정상","비용 설정 필요",G70-P70))</f>
      </c>
      <c r="R70" s="14" t="str">
        <f>IF(J70="","",IF(J70&lt;&gt;"정상","비용 설정 필요",IFERROR(Q70/G70,0)))</f>
      </c>
    </row>
    <row r="71">
      <c r="B71" s="7"/>
      <c r="C71" s="5"/>
      <c r="D71" s="8"/>
      <c r="E71" s="8"/>
      <c r="F71" s="12" t="str">
        <f>IF(AND(B71="",C71=""),"",SUM(D71:E71))</f>
      </c>
      <c r="G71" s="8"/>
      <c r="H71" s="8"/>
      <c r="I71" s="6"/>
      <c r="J71" s="10" t="str">
        <f>IF(AND(B71="",C71=""),"",IF(OR(B71="",C71=""),"비용 설정 필요",IF(COUNTIFS('3_채널별_비용설정'!$C$6:$C$55,C71,'3_채널별_비용설정'!$D$6:$D$55,"&lt;="&amp;B71,'3_채널별_비용설정'!$O$6:$O$55,"&gt;="&amp;B71)=0,"비용 설정 필요",IF(COUNTIFS('3_채널별_비용설정'!$C$6:$C$55,C71,'3_채널별_비용설정'!$D$6:$D$55,"&lt;="&amp;B71,'3_채널별_비용설정'!$O$6:$O$55,"&gt;="&amp;B71)&gt;1,"기간 중복 확인","정상"))))</f>
      </c>
      <c r="K71" s="15" t="str">
        <f>IF(J71="","",IF(J71&lt;&gt;"정상","비용 설정 필요",SUMIFS('3_채널별_비용설정'!$F$6:$F$55,'3_채널별_비용설정'!$C$6:$C$55,C71,'3_채널별_비용설정'!$D$6:$D$55,"&lt;="&amp;B71,'3_채널별_비용설정'!$O$6:$O$55,"&gt;="&amp;B71)))</f>
      </c>
      <c r="L71" s="12" t="str">
        <f>IF(J71="","",IF(J71&lt;&gt;"정상","비용 설정 필요",ROUND(G71*K71,0)))</f>
      </c>
      <c r="M71" s="12" t="str">
        <f>IF(J71="","",IF(J71&lt;&gt;"정상","비용 설정 필요",SUMIFS('3_채널별_비용설정'!$L$6:$L$55,'3_채널별_비용설정'!$C$6:$C$55,C71,'3_채널별_비용설정'!$D$6:$D$55,"&lt;="&amp;B71,'3_채널별_비용설정'!$O$6:$O$55,"&gt;="&amp;B71)))</f>
      </c>
      <c r="N71" s="12" t="str">
        <f>IF(J71="","",IF(J71&lt;&gt;"정상","비용 설정 필요",SUMIFS('3_채널별_비용설정'!$M$6:$M$55,'3_채널별_비용설정'!$C$6:$C$55,C71,'3_채널별_비용설정'!$D$6:$D$55,"&lt;="&amp;B71,'3_채널별_비용설정'!$O$6:$O$55,"&gt;="&amp;B71)))</f>
      </c>
      <c r="O71" s="12" t="str">
        <f>IF(J71="","",IF(J71&lt;&gt;"정상","비용 설정 필요",(D71*M71)+(E71*N71)))</f>
      </c>
      <c r="P71" s="12" t="str">
        <f>IF(J71="","",IF(J71&lt;&gt;"정상","비용 설정 필요",L71+O71+H71))</f>
      </c>
      <c r="Q71" s="13" t="str">
        <f>IF(J71="","",IF(J71&lt;&gt;"정상","비용 설정 필요",G71-P71))</f>
      </c>
      <c r="R71" s="14" t="str">
        <f>IF(J71="","",IF(J71&lt;&gt;"정상","비용 설정 필요",IFERROR(Q71/G71,0)))</f>
      </c>
    </row>
    <row r="72">
      <c r="B72" s="7"/>
      <c r="C72" s="5"/>
      <c r="D72" s="8"/>
      <c r="E72" s="8"/>
      <c r="F72" s="12" t="str">
        <f>IF(AND(B72="",C72=""),"",SUM(D72:E72))</f>
      </c>
      <c r="G72" s="8"/>
      <c r="H72" s="8"/>
      <c r="I72" s="6"/>
      <c r="J72" s="10" t="str">
        <f>IF(AND(B72="",C72=""),"",IF(OR(B72="",C72=""),"비용 설정 필요",IF(COUNTIFS('3_채널별_비용설정'!$C$6:$C$55,C72,'3_채널별_비용설정'!$D$6:$D$55,"&lt;="&amp;B72,'3_채널별_비용설정'!$O$6:$O$55,"&gt;="&amp;B72)=0,"비용 설정 필요",IF(COUNTIFS('3_채널별_비용설정'!$C$6:$C$55,C72,'3_채널별_비용설정'!$D$6:$D$55,"&lt;="&amp;B72,'3_채널별_비용설정'!$O$6:$O$55,"&gt;="&amp;B72)&gt;1,"기간 중복 확인","정상"))))</f>
      </c>
      <c r="K72" s="15" t="str">
        <f>IF(J72="","",IF(J72&lt;&gt;"정상","비용 설정 필요",SUMIFS('3_채널별_비용설정'!$F$6:$F$55,'3_채널별_비용설정'!$C$6:$C$55,C72,'3_채널별_비용설정'!$D$6:$D$55,"&lt;="&amp;B72,'3_채널별_비용설정'!$O$6:$O$55,"&gt;="&amp;B72)))</f>
      </c>
      <c r="L72" s="12" t="str">
        <f>IF(J72="","",IF(J72&lt;&gt;"정상","비용 설정 필요",ROUND(G72*K72,0)))</f>
      </c>
      <c r="M72" s="12" t="str">
        <f>IF(J72="","",IF(J72&lt;&gt;"정상","비용 설정 필요",SUMIFS('3_채널별_비용설정'!$L$6:$L$55,'3_채널별_비용설정'!$C$6:$C$55,C72,'3_채널별_비용설정'!$D$6:$D$55,"&lt;="&amp;B72,'3_채널별_비용설정'!$O$6:$O$55,"&gt;="&amp;B72)))</f>
      </c>
      <c r="N72" s="12" t="str">
        <f>IF(J72="","",IF(J72&lt;&gt;"정상","비용 설정 필요",SUMIFS('3_채널별_비용설정'!$M$6:$M$55,'3_채널별_비용설정'!$C$6:$C$55,C72,'3_채널별_비용설정'!$D$6:$D$55,"&lt;="&amp;B72,'3_채널별_비용설정'!$O$6:$O$55,"&gt;="&amp;B72)))</f>
      </c>
      <c r="O72" s="12" t="str">
        <f>IF(J72="","",IF(J72&lt;&gt;"정상","비용 설정 필요",(D72*M72)+(E72*N72)))</f>
      </c>
      <c r="P72" s="12" t="str">
        <f>IF(J72="","",IF(J72&lt;&gt;"정상","비용 설정 필요",L72+O72+H72))</f>
      </c>
      <c r="Q72" s="13" t="str">
        <f>IF(J72="","",IF(J72&lt;&gt;"정상","비용 설정 필요",G72-P72))</f>
      </c>
      <c r="R72" s="14" t="str">
        <f>IF(J72="","",IF(J72&lt;&gt;"정상","비용 설정 필요",IFERROR(Q72/G72,0)))</f>
      </c>
    </row>
    <row r="73">
      <c r="B73" s="7"/>
      <c r="C73" s="5"/>
      <c r="D73" s="8"/>
      <c r="E73" s="8"/>
      <c r="F73" s="12" t="str">
        <f>IF(AND(B73="",C73=""),"",SUM(D73:E73))</f>
      </c>
      <c r="G73" s="8"/>
      <c r="H73" s="8"/>
      <c r="I73" s="6"/>
      <c r="J73" s="10" t="str">
        <f>IF(AND(B73="",C73=""),"",IF(OR(B73="",C73=""),"비용 설정 필요",IF(COUNTIFS('3_채널별_비용설정'!$C$6:$C$55,C73,'3_채널별_비용설정'!$D$6:$D$55,"&lt;="&amp;B73,'3_채널별_비용설정'!$O$6:$O$55,"&gt;="&amp;B73)=0,"비용 설정 필요",IF(COUNTIFS('3_채널별_비용설정'!$C$6:$C$55,C73,'3_채널별_비용설정'!$D$6:$D$55,"&lt;="&amp;B73,'3_채널별_비용설정'!$O$6:$O$55,"&gt;="&amp;B73)&gt;1,"기간 중복 확인","정상"))))</f>
      </c>
      <c r="K73" s="15" t="str">
        <f>IF(J73="","",IF(J73&lt;&gt;"정상","비용 설정 필요",SUMIFS('3_채널별_비용설정'!$F$6:$F$55,'3_채널별_비용설정'!$C$6:$C$55,C73,'3_채널별_비용설정'!$D$6:$D$55,"&lt;="&amp;B73,'3_채널별_비용설정'!$O$6:$O$55,"&gt;="&amp;B73)))</f>
      </c>
      <c r="L73" s="12" t="str">
        <f>IF(J73="","",IF(J73&lt;&gt;"정상","비용 설정 필요",ROUND(G73*K73,0)))</f>
      </c>
      <c r="M73" s="12" t="str">
        <f>IF(J73="","",IF(J73&lt;&gt;"정상","비용 설정 필요",SUMIFS('3_채널별_비용설정'!$L$6:$L$55,'3_채널별_비용설정'!$C$6:$C$55,C73,'3_채널별_비용설정'!$D$6:$D$55,"&lt;="&amp;B73,'3_채널별_비용설정'!$O$6:$O$55,"&gt;="&amp;B73)))</f>
      </c>
      <c r="N73" s="12" t="str">
        <f>IF(J73="","",IF(J73&lt;&gt;"정상","비용 설정 필요",SUMIFS('3_채널별_비용설정'!$M$6:$M$55,'3_채널별_비용설정'!$C$6:$C$55,C73,'3_채널별_비용설정'!$D$6:$D$55,"&lt;="&amp;B73,'3_채널별_비용설정'!$O$6:$O$55,"&gt;="&amp;B73)))</f>
      </c>
      <c r="O73" s="12" t="str">
        <f>IF(J73="","",IF(J73&lt;&gt;"정상","비용 설정 필요",(D73*M73)+(E73*N73)))</f>
      </c>
      <c r="P73" s="12" t="str">
        <f>IF(J73="","",IF(J73&lt;&gt;"정상","비용 설정 필요",L73+O73+H73))</f>
      </c>
      <c r="Q73" s="13" t="str">
        <f>IF(J73="","",IF(J73&lt;&gt;"정상","비용 설정 필요",G73-P73))</f>
      </c>
      <c r="R73" s="14" t="str">
        <f>IF(J73="","",IF(J73&lt;&gt;"정상","비용 설정 필요",IFERROR(Q73/G73,0)))</f>
      </c>
    </row>
    <row r="74">
      <c r="B74" s="7"/>
      <c r="C74" s="5"/>
      <c r="D74" s="8"/>
      <c r="E74" s="8"/>
      <c r="F74" s="12" t="str">
        <f>IF(AND(B74="",C74=""),"",SUM(D74:E74))</f>
      </c>
      <c r="G74" s="8"/>
      <c r="H74" s="8"/>
      <c r="I74" s="6"/>
      <c r="J74" s="10" t="str">
        <f>IF(AND(B74="",C74=""),"",IF(OR(B74="",C74=""),"비용 설정 필요",IF(COUNTIFS('3_채널별_비용설정'!$C$6:$C$55,C74,'3_채널별_비용설정'!$D$6:$D$55,"&lt;="&amp;B74,'3_채널별_비용설정'!$O$6:$O$55,"&gt;="&amp;B74)=0,"비용 설정 필요",IF(COUNTIFS('3_채널별_비용설정'!$C$6:$C$55,C74,'3_채널별_비용설정'!$D$6:$D$55,"&lt;="&amp;B74,'3_채널별_비용설정'!$O$6:$O$55,"&gt;="&amp;B74)&gt;1,"기간 중복 확인","정상"))))</f>
      </c>
      <c r="K74" s="15" t="str">
        <f>IF(J74="","",IF(J74&lt;&gt;"정상","비용 설정 필요",SUMIFS('3_채널별_비용설정'!$F$6:$F$55,'3_채널별_비용설정'!$C$6:$C$55,C74,'3_채널별_비용설정'!$D$6:$D$55,"&lt;="&amp;B74,'3_채널별_비용설정'!$O$6:$O$55,"&gt;="&amp;B74)))</f>
      </c>
      <c r="L74" s="12" t="str">
        <f>IF(J74="","",IF(J74&lt;&gt;"정상","비용 설정 필요",ROUND(G74*K74,0)))</f>
      </c>
      <c r="M74" s="12" t="str">
        <f>IF(J74="","",IF(J74&lt;&gt;"정상","비용 설정 필요",SUMIFS('3_채널별_비용설정'!$L$6:$L$55,'3_채널별_비용설정'!$C$6:$C$55,C74,'3_채널별_비용설정'!$D$6:$D$55,"&lt;="&amp;B74,'3_채널별_비용설정'!$O$6:$O$55,"&gt;="&amp;B74)))</f>
      </c>
      <c r="N74" s="12" t="str">
        <f>IF(J74="","",IF(J74&lt;&gt;"정상","비용 설정 필요",SUMIFS('3_채널별_비용설정'!$M$6:$M$55,'3_채널별_비용설정'!$C$6:$C$55,C74,'3_채널별_비용설정'!$D$6:$D$55,"&lt;="&amp;B74,'3_채널별_비용설정'!$O$6:$O$55,"&gt;="&amp;B74)))</f>
      </c>
      <c r="O74" s="12" t="str">
        <f>IF(J74="","",IF(J74&lt;&gt;"정상","비용 설정 필요",(D74*M74)+(E74*N74)))</f>
      </c>
      <c r="P74" s="12" t="str">
        <f>IF(J74="","",IF(J74&lt;&gt;"정상","비용 설정 필요",L74+O74+H74))</f>
      </c>
      <c r="Q74" s="13" t="str">
        <f>IF(J74="","",IF(J74&lt;&gt;"정상","비용 설정 필요",G74-P74))</f>
      </c>
      <c r="R74" s="14" t="str">
        <f>IF(J74="","",IF(J74&lt;&gt;"정상","비용 설정 필요",IFERROR(Q74/G74,0)))</f>
      </c>
    </row>
    <row r="75">
      <c r="B75" s="7"/>
      <c r="C75" s="5"/>
      <c r="D75" s="8"/>
      <c r="E75" s="8"/>
      <c r="F75" s="12" t="str">
        <f>IF(AND(B75="",C75=""),"",SUM(D75:E75))</f>
      </c>
      <c r="G75" s="8"/>
      <c r="H75" s="8"/>
      <c r="I75" s="6"/>
      <c r="J75" s="10" t="str">
        <f>IF(AND(B75="",C75=""),"",IF(OR(B75="",C75=""),"비용 설정 필요",IF(COUNTIFS('3_채널별_비용설정'!$C$6:$C$55,C75,'3_채널별_비용설정'!$D$6:$D$55,"&lt;="&amp;B75,'3_채널별_비용설정'!$O$6:$O$55,"&gt;="&amp;B75)=0,"비용 설정 필요",IF(COUNTIFS('3_채널별_비용설정'!$C$6:$C$55,C75,'3_채널별_비용설정'!$D$6:$D$55,"&lt;="&amp;B75,'3_채널별_비용설정'!$O$6:$O$55,"&gt;="&amp;B75)&gt;1,"기간 중복 확인","정상"))))</f>
      </c>
      <c r="K75" s="15" t="str">
        <f>IF(J75="","",IF(J75&lt;&gt;"정상","비용 설정 필요",SUMIFS('3_채널별_비용설정'!$F$6:$F$55,'3_채널별_비용설정'!$C$6:$C$55,C75,'3_채널별_비용설정'!$D$6:$D$55,"&lt;="&amp;B75,'3_채널별_비용설정'!$O$6:$O$55,"&gt;="&amp;B75)))</f>
      </c>
      <c r="L75" s="12" t="str">
        <f>IF(J75="","",IF(J75&lt;&gt;"정상","비용 설정 필요",ROUND(G75*K75,0)))</f>
      </c>
      <c r="M75" s="12" t="str">
        <f>IF(J75="","",IF(J75&lt;&gt;"정상","비용 설정 필요",SUMIFS('3_채널별_비용설정'!$L$6:$L$55,'3_채널별_비용설정'!$C$6:$C$55,C75,'3_채널별_비용설정'!$D$6:$D$55,"&lt;="&amp;B75,'3_채널별_비용설정'!$O$6:$O$55,"&gt;="&amp;B75)))</f>
      </c>
      <c r="N75" s="12" t="str">
        <f>IF(J75="","",IF(J75&lt;&gt;"정상","비용 설정 필요",SUMIFS('3_채널별_비용설정'!$M$6:$M$55,'3_채널별_비용설정'!$C$6:$C$55,C75,'3_채널별_비용설정'!$D$6:$D$55,"&lt;="&amp;B75,'3_채널별_비용설정'!$O$6:$O$55,"&gt;="&amp;B75)))</f>
      </c>
      <c r="O75" s="12" t="str">
        <f>IF(J75="","",IF(J75&lt;&gt;"정상","비용 설정 필요",(D75*M75)+(E75*N75)))</f>
      </c>
      <c r="P75" s="12" t="str">
        <f>IF(J75="","",IF(J75&lt;&gt;"정상","비용 설정 필요",L75+O75+H75))</f>
      </c>
      <c r="Q75" s="13" t="str">
        <f>IF(J75="","",IF(J75&lt;&gt;"정상","비용 설정 필요",G75-P75))</f>
      </c>
      <c r="R75" s="14" t="str">
        <f>IF(J75="","",IF(J75&lt;&gt;"정상","비용 설정 필요",IFERROR(Q75/G75,0)))</f>
      </c>
    </row>
    <row r="76">
      <c r="B76" s="7"/>
      <c r="C76" s="5"/>
      <c r="D76" s="8"/>
      <c r="E76" s="8"/>
      <c r="F76" s="12" t="str">
        <f>IF(AND(B76="",C76=""),"",SUM(D76:E76))</f>
      </c>
      <c r="G76" s="8"/>
      <c r="H76" s="8"/>
      <c r="I76" s="6"/>
      <c r="J76" s="10" t="str">
        <f>IF(AND(B76="",C76=""),"",IF(OR(B76="",C76=""),"비용 설정 필요",IF(COUNTIFS('3_채널별_비용설정'!$C$6:$C$55,C76,'3_채널별_비용설정'!$D$6:$D$55,"&lt;="&amp;B76,'3_채널별_비용설정'!$O$6:$O$55,"&gt;="&amp;B76)=0,"비용 설정 필요",IF(COUNTIFS('3_채널별_비용설정'!$C$6:$C$55,C76,'3_채널별_비용설정'!$D$6:$D$55,"&lt;="&amp;B76,'3_채널별_비용설정'!$O$6:$O$55,"&gt;="&amp;B76)&gt;1,"기간 중복 확인","정상"))))</f>
      </c>
      <c r="K76" s="15" t="str">
        <f>IF(J76="","",IF(J76&lt;&gt;"정상","비용 설정 필요",SUMIFS('3_채널별_비용설정'!$F$6:$F$55,'3_채널별_비용설정'!$C$6:$C$55,C76,'3_채널별_비용설정'!$D$6:$D$55,"&lt;="&amp;B76,'3_채널별_비용설정'!$O$6:$O$55,"&gt;="&amp;B76)))</f>
      </c>
      <c r="L76" s="12" t="str">
        <f>IF(J76="","",IF(J76&lt;&gt;"정상","비용 설정 필요",ROUND(G76*K76,0)))</f>
      </c>
      <c r="M76" s="12" t="str">
        <f>IF(J76="","",IF(J76&lt;&gt;"정상","비용 설정 필요",SUMIFS('3_채널별_비용설정'!$L$6:$L$55,'3_채널별_비용설정'!$C$6:$C$55,C76,'3_채널별_비용설정'!$D$6:$D$55,"&lt;="&amp;B76,'3_채널별_비용설정'!$O$6:$O$55,"&gt;="&amp;B76)))</f>
      </c>
      <c r="N76" s="12" t="str">
        <f>IF(J76="","",IF(J76&lt;&gt;"정상","비용 설정 필요",SUMIFS('3_채널별_비용설정'!$M$6:$M$55,'3_채널별_비용설정'!$C$6:$C$55,C76,'3_채널별_비용설정'!$D$6:$D$55,"&lt;="&amp;B76,'3_채널별_비용설정'!$O$6:$O$55,"&gt;="&amp;B76)))</f>
      </c>
      <c r="O76" s="12" t="str">
        <f>IF(J76="","",IF(J76&lt;&gt;"정상","비용 설정 필요",(D76*M76)+(E76*N76)))</f>
      </c>
      <c r="P76" s="12" t="str">
        <f>IF(J76="","",IF(J76&lt;&gt;"정상","비용 설정 필요",L76+O76+H76))</f>
      </c>
      <c r="Q76" s="13" t="str">
        <f>IF(J76="","",IF(J76&lt;&gt;"정상","비용 설정 필요",G76-P76))</f>
      </c>
      <c r="R76" s="14" t="str">
        <f>IF(J76="","",IF(J76&lt;&gt;"정상","비용 설정 필요",IFERROR(Q76/G76,0)))</f>
      </c>
    </row>
    <row r="77">
      <c r="B77" s="7"/>
      <c r="C77" s="5"/>
      <c r="D77" s="8"/>
      <c r="E77" s="8"/>
      <c r="F77" s="12" t="str">
        <f>IF(AND(B77="",C77=""),"",SUM(D77:E77))</f>
      </c>
      <c r="G77" s="8"/>
      <c r="H77" s="8"/>
      <c r="I77" s="6"/>
      <c r="J77" s="10" t="str">
        <f>IF(AND(B77="",C77=""),"",IF(OR(B77="",C77=""),"비용 설정 필요",IF(COUNTIFS('3_채널별_비용설정'!$C$6:$C$55,C77,'3_채널별_비용설정'!$D$6:$D$55,"&lt;="&amp;B77,'3_채널별_비용설정'!$O$6:$O$55,"&gt;="&amp;B77)=0,"비용 설정 필요",IF(COUNTIFS('3_채널별_비용설정'!$C$6:$C$55,C77,'3_채널별_비용설정'!$D$6:$D$55,"&lt;="&amp;B77,'3_채널별_비용설정'!$O$6:$O$55,"&gt;="&amp;B77)&gt;1,"기간 중복 확인","정상"))))</f>
      </c>
      <c r="K77" s="15" t="str">
        <f>IF(J77="","",IF(J77&lt;&gt;"정상","비용 설정 필요",SUMIFS('3_채널별_비용설정'!$F$6:$F$55,'3_채널별_비용설정'!$C$6:$C$55,C77,'3_채널별_비용설정'!$D$6:$D$55,"&lt;="&amp;B77,'3_채널별_비용설정'!$O$6:$O$55,"&gt;="&amp;B77)))</f>
      </c>
      <c r="L77" s="12" t="str">
        <f>IF(J77="","",IF(J77&lt;&gt;"정상","비용 설정 필요",ROUND(G77*K77,0)))</f>
      </c>
      <c r="M77" s="12" t="str">
        <f>IF(J77="","",IF(J77&lt;&gt;"정상","비용 설정 필요",SUMIFS('3_채널별_비용설정'!$L$6:$L$55,'3_채널별_비용설정'!$C$6:$C$55,C77,'3_채널별_비용설정'!$D$6:$D$55,"&lt;="&amp;B77,'3_채널별_비용설정'!$O$6:$O$55,"&gt;="&amp;B77)))</f>
      </c>
      <c r="N77" s="12" t="str">
        <f>IF(J77="","",IF(J77&lt;&gt;"정상","비용 설정 필요",SUMIFS('3_채널별_비용설정'!$M$6:$M$55,'3_채널별_비용설정'!$C$6:$C$55,C77,'3_채널별_비용설정'!$D$6:$D$55,"&lt;="&amp;B77,'3_채널별_비용설정'!$O$6:$O$55,"&gt;="&amp;B77)))</f>
      </c>
      <c r="O77" s="12" t="str">
        <f>IF(J77="","",IF(J77&lt;&gt;"정상","비용 설정 필요",(D77*M77)+(E77*N77)))</f>
      </c>
      <c r="P77" s="12" t="str">
        <f>IF(J77="","",IF(J77&lt;&gt;"정상","비용 설정 필요",L77+O77+H77))</f>
      </c>
      <c r="Q77" s="13" t="str">
        <f>IF(J77="","",IF(J77&lt;&gt;"정상","비용 설정 필요",G77-P77))</f>
      </c>
      <c r="R77" s="14" t="str">
        <f>IF(J77="","",IF(J77&lt;&gt;"정상","비용 설정 필요",IFERROR(Q77/G77,0)))</f>
      </c>
    </row>
    <row r="78">
      <c r="B78" s="7"/>
      <c r="C78" s="5"/>
      <c r="D78" s="8"/>
      <c r="E78" s="8"/>
      <c r="F78" s="12" t="str">
        <f>IF(AND(B78="",C78=""),"",SUM(D78:E78))</f>
      </c>
      <c r="G78" s="8"/>
      <c r="H78" s="8"/>
      <c r="I78" s="6"/>
      <c r="J78" s="10" t="str">
        <f>IF(AND(B78="",C78=""),"",IF(OR(B78="",C78=""),"비용 설정 필요",IF(COUNTIFS('3_채널별_비용설정'!$C$6:$C$55,C78,'3_채널별_비용설정'!$D$6:$D$55,"&lt;="&amp;B78,'3_채널별_비용설정'!$O$6:$O$55,"&gt;="&amp;B78)=0,"비용 설정 필요",IF(COUNTIFS('3_채널별_비용설정'!$C$6:$C$55,C78,'3_채널별_비용설정'!$D$6:$D$55,"&lt;="&amp;B78,'3_채널별_비용설정'!$O$6:$O$55,"&gt;="&amp;B78)&gt;1,"기간 중복 확인","정상"))))</f>
      </c>
      <c r="K78" s="15" t="str">
        <f>IF(J78="","",IF(J78&lt;&gt;"정상","비용 설정 필요",SUMIFS('3_채널별_비용설정'!$F$6:$F$55,'3_채널별_비용설정'!$C$6:$C$55,C78,'3_채널별_비용설정'!$D$6:$D$55,"&lt;="&amp;B78,'3_채널별_비용설정'!$O$6:$O$55,"&gt;="&amp;B78)))</f>
      </c>
      <c r="L78" s="12" t="str">
        <f>IF(J78="","",IF(J78&lt;&gt;"정상","비용 설정 필요",ROUND(G78*K78,0)))</f>
      </c>
      <c r="M78" s="12" t="str">
        <f>IF(J78="","",IF(J78&lt;&gt;"정상","비용 설정 필요",SUMIFS('3_채널별_비용설정'!$L$6:$L$55,'3_채널별_비용설정'!$C$6:$C$55,C78,'3_채널별_비용설정'!$D$6:$D$55,"&lt;="&amp;B78,'3_채널별_비용설정'!$O$6:$O$55,"&gt;="&amp;B78)))</f>
      </c>
      <c r="N78" s="12" t="str">
        <f>IF(J78="","",IF(J78&lt;&gt;"정상","비용 설정 필요",SUMIFS('3_채널별_비용설정'!$M$6:$M$55,'3_채널별_비용설정'!$C$6:$C$55,C78,'3_채널별_비용설정'!$D$6:$D$55,"&lt;="&amp;B78,'3_채널별_비용설정'!$O$6:$O$55,"&gt;="&amp;B78)))</f>
      </c>
      <c r="O78" s="12" t="str">
        <f>IF(J78="","",IF(J78&lt;&gt;"정상","비용 설정 필요",(D78*M78)+(E78*N78)))</f>
      </c>
      <c r="P78" s="12" t="str">
        <f>IF(J78="","",IF(J78&lt;&gt;"정상","비용 설정 필요",L78+O78+H78))</f>
      </c>
      <c r="Q78" s="13" t="str">
        <f>IF(J78="","",IF(J78&lt;&gt;"정상","비용 설정 필요",G78-P78))</f>
      </c>
      <c r="R78" s="14" t="str">
        <f>IF(J78="","",IF(J78&lt;&gt;"정상","비용 설정 필요",IFERROR(Q78/G78,0)))</f>
      </c>
    </row>
    <row r="79">
      <c r="B79" s="7"/>
      <c r="C79" s="5"/>
      <c r="D79" s="8"/>
      <c r="E79" s="8"/>
      <c r="F79" s="12" t="str">
        <f>IF(AND(B79="",C79=""),"",SUM(D79:E79))</f>
      </c>
      <c r="G79" s="8"/>
      <c r="H79" s="8"/>
      <c r="I79" s="6"/>
      <c r="J79" s="10" t="str">
        <f>IF(AND(B79="",C79=""),"",IF(OR(B79="",C79=""),"비용 설정 필요",IF(COUNTIFS('3_채널별_비용설정'!$C$6:$C$55,C79,'3_채널별_비용설정'!$D$6:$D$55,"&lt;="&amp;B79,'3_채널별_비용설정'!$O$6:$O$55,"&gt;="&amp;B79)=0,"비용 설정 필요",IF(COUNTIFS('3_채널별_비용설정'!$C$6:$C$55,C79,'3_채널별_비용설정'!$D$6:$D$55,"&lt;="&amp;B79,'3_채널별_비용설정'!$O$6:$O$55,"&gt;="&amp;B79)&gt;1,"기간 중복 확인","정상"))))</f>
      </c>
      <c r="K79" s="15" t="str">
        <f>IF(J79="","",IF(J79&lt;&gt;"정상","비용 설정 필요",SUMIFS('3_채널별_비용설정'!$F$6:$F$55,'3_채널별_비용설정'!$C$6:$C$55,C79,'3_채널별_비용설정'!$D$6:$D$55,"&lt;="&amp;B79,'3_채널별_비용설정'!$O$6:$O$55,"&gt;="&amp;B79)))</f>
      </c>
      <c r="L79" s="12" t="str">
        <f>IF(J79="","",IF(J79&lt;&gt;"정상","비용 설정 필요",ROUND(G79*K79,0)))</f>
      </c>
      <c r="M79" s="12" t="str">
        <f>IF(J79="","",IF(J79&lt;&gt;"정상","비용 설정 필요",SUMIFS('3_채널별_비용설정'!$L$6:$L$55,'3_채널별_비용설정'!$C$6:$C$55,C79,'3_채널별_비용설정'!$D$6:$D$55,"&lt;="&amp;B79,'3_채널별_비용설정'!$O$6:$O$55,"&gt;="&amp;B79)))</f>
      </c>
      <c r="N79" s="12" t="str">
        <f>IF(J79="","",IF(J79&lt;&gt;"정상","비용 설정 필요",SUMIFS('3_채널별_비용설정'!$M$6:$M$55,'3_채널별_비용설정'!$C$6:$C$55,C79,'3_채널별_비용설정'!$D$6:$D$55,"&lt;="&amp;B79,'3_채널별_비용설정'!$O$6:$O$55,"&gt;="&amp;B79)))</f>
      </c>
      <c r="O79" s="12" t="str">
        <f>IF(J79="","",IF(J79&lt;&gt;"정상","비용 설정 필요",(D79*M79)+(E79*N79)))</f>
      </c>
      <c r="P79" s="12" t="str">
        <f>IF(J79="","",IF(J79&lt;&gt;"정상","비용 설정 필요",L79+O79+H79))</f>
      </c>
      <c r="Q79" s="13" t="str">
        <f>IF(J79="","",IF(J79&lt;&gt;"정상","비용 설정 필요",G79-P79))</f>
      </c>
      <c r="R79" s="14" t="str">
        <f>IF(J79="","",IF(J79&lt;&gt;"정상","비용 설정 필요",IFERROR(Q79/G79,0)))</f>
      </c>
    </row>
    <row r="80">
      <c r="B80" s="7"/>
      <c r="C80" s="5"/>
      <c r="D80" s="8"/>
      <c r="E80" s="8"/>
      <c r="F80" s="12" t="str">
        <f>IF(AND(B80="",C80=""),"",SUM(D80:E80))</f>
      </c>
      <c r="G80" s="8"/>
      <c r="H80" s="8"/>
      <c r="I80" s="6"/>
      <c r="J80" s="10" t="str">
        <f>IF(AND(B80="",C80=""),"",IF(OR(B80="",C80=""),"비용 설정 필요",IF(COUNTIFS('3_채널별_비용설정'!$C$6:$C$55,C80,'3_채널별_비용설정'!$D$6:$D$55,"&lt;="&amp;B80,'3_채널별_비용설정'!$O$6:$O$55,"&gt;="&amp;B80)=0,"비용 설정 필요",IF(COUNTIFS('3_채널별_비용설정'!$C$6:$C$55,C80,'3_채널별_비용설정'!$D$6:$D$55,"&lt;="&amp;B80,'3_채널별_비용설정'!$O$6:$O$55,"&gt;="&amp;B80)&gt;1,"기간 중복 확인","정상"))))</f>
      </c>
      <c r="K80" s="15" t="str">
        <f>IF(J80="","",IF(J80&lt;&gt;"정상","비용 설정 필요",SUMIFS('3_채널별_비용설정'!$F$6:$F$55,'3_채널별_비용설정'!$C$6:$C$55,C80,'3_채널별_비용설정'!$D$6:$D$55,"&lt;="&amp;B80,'3_채널별_비용설정'!$O$6:$O$55,"&gt;="&amp;B80)))</f>
      </c>
      <c r="L80" s="12" t="str">
        <f>IF(J80="","",IF(J80&lt;&gt;"정상","비용 설정 필요",ROUND(G80*K80,0)))</f>
      </c>
      <c r="M80" s="12" t="str">
        <f>IF(J80="","",IF(J80&lt;&gt;"정상","비용 설정 필요",SUMIFS('3_채널별_비용설정'!$L$6:$L$55,'3_채널별_비용설정'!$C$6:$C$55,C80,'3_채널별_비용설정'!$D$6:$D$55,"&lt;="&amp;B80,'3_채널별_비용설정'!$O$6:$O$55,"&gt;="&amp;B80)))</f>
      </c>
      <c r="N80" s="12" t="str">
        <f>IF(J80="","",IF(J80&lt;&gt;"정상","비용 설정 필요",SUMIFS('3_채널별_비용설정'!$M$6:$M$55,'3_채널별_비용설정'!$C$6:$C$55,C80,'3_채널별_비용설정'!$D$6:$D$55,"&lt;="&amp;B80,'3_채널별_비용설정'!$O$6:$O$55,"&gt;="&amp;B80)))</f>
      </c>
      <c r="O80" s="12" t="str">
        <f>IF(J80="","",IF(J80&lt;&gt;"정상","비용 설정 필요",(D80*M80)+(E80*N80)))</f>
      </c>
      <c r="P80" s="12" t="str">
        <f>IF(J80="","",IF(J80&lt;&gt;"정상","비용 설정 필요",L80+O80+H80))</f>
      </c>
      <c r="Q80" s="13" t="str">
        <f>IF(J80="","",IF(J80&lt;&gt;"정상","비용 설정 필요",G80-P80))</f>
      </c>
      <c r="R80" s="14" t="str">
        <f>IF(J80="","",IF(J80&lt;&gt;"정상","비용 설정 필요",IFERROR(Q80/G80,0)))</f>
      </c>
    </row>
    <row r="81">
      <c r="B81" s="7"/>
      <c r="C81" s="5"/>
      <c r="D81" s="8"/>
      <c r="E81" s="8"/>
      <c r="F81" s="12" t="str">
        <f>IF(AND(B81="",C81=""),"",SUM(D81:E81))</f>
      </c>
      <c r="G81" s="8"/>
      <c r="H81" s="8"/>
      <c r="I81" s="6"/>
      <c r="J81" s="10" t="str">
        <f>IF(AND(B81="",C81=""),"",IF(OR(B81="",C81=""),"비용 설정 필요",IF(COUNTIFS('3_채널별_비용설정'!$C$6:$C$55,C81,'3_채널별_비용설정'!$D$6:$D$55,"&lt;="&amp;B81,'3_채널별_비용설정'!$O$6:$O$55,"&gt;="&amp;B81)=0,"비용 설정 필요",IF(COUNTIFS('3_채널별_비용설정'!$C$6:$C$55,C81,'3_채널별_비용설정'!$D$6:$D$55,"&lt;="&amp;B81,'3_채널별_비용설정'!$O$6:$O$55,"&gt;="&amp;B81)&gt;1,"기간 중복 확인","정상"))))</f>
      </c>
      <c r="K81" s="15" t="str">
        <f>IF(J81="","",IF(J81&lt;&gt;"정상","비용 설정 필요",SUMIFS('3_채널별_비용설정'!$F$6:$F$55,'3_채널별_비용설정'!$C$6:$C$55,C81,'3_채널별_비용설정'!$D$6:$D$55,"&lt;="&amp;B81,'3_채널별_비용설정'!$O$6:$O$55,"&gt;="&amp;B81)))</f>
      </c>
      <c r="L81" s="12" t="str">
        <f>IF(J81="","",IF(J81&lt;&gt;"정상","비용 설정 필요",ROUND(G81*K81,0)))</f>
      </c>
      <c r="M81" s="12" t="str">
        <f>IF(J81="","",IF(J81&lt;&gt;"정상","비용 설정 필요",SUMIFS('3_채널별_비용설정'!$L$6:$L$55,'3_채널별_비용설정'!$C$6:$C$55,C81,'3_채널별_비용설정'!$D$6:$D$55,"&lt;="&amp;B81,'3_채널별_비용설정'!$O$6:$O$55,"&gt;="&amp;B81)))</f>
      </c>
      <c r="N81" s="12" t="str">
        <f>IF(J81="","",IF(J81&lt;&gt;"정상","비용 설정 필요",SUMIFS('3_채널별_비용설정'!$M$6:$M$55,'3_채널별_비용설정'!$C$6:$C$55,C81,'3_채널별_비용설정'!$D$6:$D$55,"&lt;="&amp;B81,'3_채널별_비용설정'!$O$6:$O$55,"&gt;="&amp;B81)))</f>
      </c>
      <c r="O81" s="12" t="str">
        <f>IF(J81="","",IF(J81&lt;&gt;"정상","비용 설정 필요",(D81*M81)+(E81*N81)))</f>
      </c>
      <c r="P81" s="12" t="str">
        <f>IF(J81="","",IF(J81&lt;&gt;"정상","비용 설정 필요",L81+O81+H81))</f>
      </c>
      <c r="Q81" s="13" t="str">
        <f>IF(J81="","",IF(J81&lt;&gt;"정상","비용 설정 필요",G81-P81))</f>
      </c>
      <c r="R81" s="14" t="str">
        <f>IF(J81="","",IF(J81&lt;&gt;"정상","비용 설정 필요",IFERROR(Q81/G81,0)))</f>
      </c>
    </row>
    <row r="82">
      <c r="B82" s="7"/>
      <c r="C82" s="5"/>
      <c r="D82" s="8"/>
      <c r="E82" s="8"/>
      <c r="F82" s="12" t="str">
        <f>IF(AND(B82="",C82=""),"",SUM(D82:E82))</f>
      </c>
      <c r="G82" s="8"/>
      <c r="H82" s="8"/>
      <c r="I82" s="6"/>
      <c r="J82" s="10" t="str">
        <f>IF(AND(B82="",C82=""),"",IF(OR(B82="",C82=""),"비용 설정 필요",IF(COUNTIFS('3_채널별_비용설정'!$C$6:$C$55,C82,'3_채널별_비용설정'!$D$6:$D$55,"&lt;="&amp;B82,'3_채널별_비용설정'!$O$6:$O$55,"&gt;="&amp;B82)=0,"비용 설정 필요",IF(COUNTIFS('3_채널별_비용설정'!$C$6:$C$55,C82,'3_채널별_비용설정'!$D$6:$D$55,"&lt;="&amp;B82,'3_채널별_비용설정'!$O$6:$O$55,"&gt;="&amp;B82)&gt;1,"기간 중복 확인","정상"))))</f>
      </c>
      <c r="K82" s="15" t="str">
        <f>IF(J82="","",IF(J82&lt;&gt;"정상","비용 설정 필요",SUMIFS('3_채널별_비용설정'!$F$6:$F$55,'3_채널별_비용설정'!$C$6:$C$55,C82,'3_채널별_비용설정'!$D$6:$D$55,"&lt;="&amp;B82,'3_채널별_비용설정'!$O$6:$O$55,"&gt;="&amp;B82)))</f>
      </c>
      <c r="L82" s="12" t="str">
        <f>IF(J82="","",IF(J82&lt;&gt;"정상","비용 설정 필요",ROUND(G82*K82,0)))</f>
      </c>
      <c r="M82" s="12" t="str">
        <f>IF(J82="","",IF(J82&lt;&gt;"정상","비용 설정 필요",SUMIFS('3_채널별_비용설정'!$L$6:$L$55,'3_채널별_비용설정'!$C$6:$C$55,C82,'3_채널별_비용설정'!$D$6:$D$55,"&lt;="&amp;B82,'3_채널별_비용설정'!$O$6:$O$55,"&gt;="&amp;B82)))</f>
      </c>
      <c r="N82" s="12" t="str">
        <f>IF(J82="","",IF(J82&lt;&gt;"정상","비용 설정 필요",SUMIFS('3_채널별_비용설정'!$M$6:$M$55,'3_채널별_비용설정'!$C$6:$C$55,C82,'3_채널별_비용설정'!$D$6:$D$55,"&lt;="&amp;B82,'3_채널별_비용설정'!$O$6:$O$55,"&gt;="&amp;B82)))</f>
      </c>
      <c r="O82" s="12" t="str">
        <f>IF(J82="","",IF(J82&lt;&gt;"정상","비용 설정 필요",(D82*M82)+(E82*N82)))</f>
      </c>
      <c r="P82" s="12" t="str">
        <f>IF(J82="","",IF(J82&lt;&gt;"정상","비용 설정 필요",L82+O82+H82))</f>
      </c>
      <c r="Q82" s="13" t="str">
        <f>IF(J82="","",IF(J82&lt;&gt;"정상","비용 설정 필요",G82-P82))</f>
      </c>
      <c r="R82" s="14" t="str">
        <f>IF(J82="","",IF(J82&lt;&gt;"정상","비용 설정 필요",IFERROR(Q82/G82,0)))</f>
      </c>
    </row>
    <row r="83">
      <c r="B83" s="7"/>
      <c r="C83" s="5"/>
      <c r="D83" s="8"/>
      <c r="E83" s="8"/>
      <c r="F83" s="12" t="str">
        <f>IF(AND(B83="",C83=""),"",SUM(D83:E83))</f>
      </c>
      <c r="G83" s="8"/>
      <c r="H83" s="8"/>
      <c r="I83" s="6"/>
      <c r="J83" s="10" t="str">
        <f>IF(AND(B83="",C83=""),"",IF(OR(B83="",C83=""),"비용 설정 필요",IF(COUNTIFS('3_채널별_비용설정'!$C$6:$C$55,C83,'3_채널별_비용설정'!$D$6:$D$55,"&lt;="&amp;B83,'3_채널별_비용설정'!$O$6:$O$55,"&gt;="&amp;B83)=0,"비용 설정 필요",IF(COUNTIFS('3_채널별_비용설정'!$C$6:$C$55,C83,'3_채널별_비용설정'!$D$6:$D$55,"&lt;="&amp;B83,'3_채널별_비용설정'!$O$6:$O$55,"&gt;="&amp;B83)&gt;1,"기간 중복 확인","정상"))))</f>
      </c>
      <c r="K83" s="15" t="str">
        <f>IF(J83="","",IF(J83&lt;&gt;"정상","비용 설정 필요",SUMIFS('3_채널별_비용설정'!$F$6:$F$55,'3_채널별_비용설정'!$C$6:$C$55,C83,'3_채널별_비용설정'!$D$6:$D$55,"&lt;="&amp;B83,'3_채널별_비용설정'!$O$6:$O$55,"&gt;="&amp;B83)))</f>
      </c>
      <c r="L83" s="12" t="str">
        <f>IF(J83="","",IF(J83&lt;&gt;"정상","비용 설정 필요",ROUND(G83*K83,0)))</f>
      </c>
      <c r="M83" s="12" t="str">
        <f>IF(J83="","",IF(J83&lt;&gt;"정상","비용 설정 필요",SUMIFS('3_채널별_비용설정'!$L$6:$L$55,'3_채널별_비용설정'!$C$6:$C$55,C83,'3_채널별_비용설정'!$D$6:$D$55,"&lt;="&amp;B83,'3_채널별_비용설정'!$O$6:$O$55,"&gt;="&amp;B83)))</f>
      </c>
      <c r="N83" s="12" t="str">
        <f>IF(J83="","",IF(J83&lt;&gt;"정상","비용 설정 필요",SUMIFS('3_채널별_비용설정'!$M$6:$M$55,'3_채널별_비용설정'!$C$6:$C$55,C83,'3_채널별_비용설정'!$D$6:$D$55,"&lt;="&amp;B83,'3_채널별_비용설정'!$O$6:$O$55,"&gt;="&amp;B83)))</f>
      </c>
      <c r="O83" s="12" t="str">
        <f>IF(J83="","",IF(J83&lt;&gt;"정상","비용 설정 필요",(D83*M83)+(E83*N83)))</f>
      </c>
      <c r="P83" s="12" t="str">
        <f>IF(J83="","",IF(J83&lt;&gt;"정상","비용 설정 필요",L83+O83+H83))</f>
      </c>
      <c r="Q83" s="13" t="str">
        <f>IF(J83="","",IF(J83&lt;&gt;"정상","비용 설정 필요",G83-P83))</f>
      </c>
      <c r="R83" s="14" t="str">
        <f>IF(J83="","",IF(J83&lt;&gt;"정상","비용 설정 필요",IFERROR(Q83/G83,0)))</f>
      </c>
    </row>
    <row r="84">
      <c r="B84" s="7"/>
      <c r="C84" s="5"/>
      <c r="D84" s="8"/>
      <c r="E84" s="8"/>
      <c r="F84" s="12" t="str">
        <f>IF(AND(B84="",C84=""),"",SUM(D84:E84))</f>
      </c>
      <c r="G84" s="8"/>
      <c r="H84" s="8"/>
      <c r="I84" s="6"/>
      <c r="J84" s="10" t="str">
        <f>IF(AND(B84="",C84=""),"",IF(OR(B84="",C84=""),"비용 설정 필요",IF(COUNTIFS('3_채널별_비용설정'!$C$6:$C$55,C84,'3_채널별_비용설정'!$D$6:$D$55,"&lt;="&amp;B84,'3_채널별_비용설정'!$O$6:$O$55,"&gt;="&amp;B84)=0,"비용 설정 필요",IF(COUNTIFS('3_채널별_비용설정'!$C$6:$C$55,C84,'3_채널별_비용설정'!$D$6:$D$55,"&lt;="&amp;B84,'3_채널별_비용설정'!$O$6:$O$55,"&gt;="&amp;B84)&gt;1,"기간 중복 확인","정상"))))</f>
      </c>
      <c r="K84" s="15" t="str">
        <f>IF(J84="","",IF(J84&lt;&gt;"정상","비용 설정 필요",SUMIFS('3_채널별_비용설정'!$F$6:$F$55,'3_채널별_비용설정'!$C$6:$C$55,C84,'3_채널별_비용설정'!$D$6:$D$55,"&lt;="&amp;B84,'3_채널별_비용설정'!$O$6:$O$55,"&gt;="&amp;B84)))</f>
      </c>
      <c r="L84" s="12" t="str">
        <f>IF(J84="","",IF(J84&lt;&gt;"정상","비용 설정 필요",ROUND(G84*K84,0)))</f>
      </c>
      <c r="M84" s="12" t="str">
        <f>IF(J84="","",IF(J84&lt;&gt;"정상","비용 설정 필요",SUMIFS('3_채널별_비용설정'!$L$6:$L$55,'3_채널별_비용설정'!$C$6:$C$55,C84,'3_채널별_비용설정'!$D$6:$D$55,"&lt;="&amp;B84,'3_채널별_비용설정'!$O$6:$O$55,"&gt;="&amp;B84)))</f>
      </c>
      <c r="N84" s="12" t="str">
        <f>IF(J84="","",IF(J84&lt;&gt;"정상","비용 설정 필요",SUMIFS('3_채널별_비용설정'!$M$6:$M$55,'3_채널별_비용설정'!$C$6:$C$55,C84,'3_채널별_비용설정'!$D$6:$D$55,"&lt;="&amp;B84,'3_채널별_비용설정'!$O$6:$O$55,"&gt;="&amp;B84)))</f>
      </c>
      <c r="O84" s="12" t="str">
        <f>IF(J84="","",IF(J84&lt;&gt;"정상","비용 설정 필요",(D84*M84)+(E84*N84)))</f>
      </c>
      <c r="P84" s="12" t="str">
        <f>IF(J84="","",IF(J84&lt;&gt;"정상","비용 설정 필요",L84+O84+H84))</f>
      </c>
      <c r="Q84" s="13" t="str">
        <f>IF(J84="","",IF(J84&lt;&gt;"정상","비용 설정 필요",G84-P84))</f>
      </c>
      <c r="R84" s="14" t="str">
        <f>IF(J84="","",IF(J84&lt;&gt;"정상","비용 설정 필요",IFERROR(Q84/G84,0)))</f>
      </c>
    </row>
    <row r="85">
      <c r="B85" s="7"/>
      <c r="C85" s="5"/>
      <c r="D85" s="8"/>
      <c r="E85" s="8"/>
      <c r="F85" s="12" t="str">
        <f>IF(AND(B85="",C85=""),"",SUM(D85:E85))</f>
      </c>
      <c r="G85" s="8"/>
      <c r="H85" s="8"/>
      <c r="I85" s="6"/>
      <c r="J85" s="10" t="str">
        <f>IF(AND(B85="",C85=""),"",IF(OR(B85="",C85=""),"비용 설정 필요",IF(COUNTIFS('3_채널별_비용설정'!$C$6:$C$55,C85,'3_채널별_비용설정'!$D$6:$D$55,"&lt;="&amp;B85,'3_채널별_비용설정'!$O$6:$O$55,"&gt;="&amp;B85)=0,"비용 설정 필요",IF(COUNTIFS('3_채널별_비용설정'!$C$6:$C$55,C85,'3_채널별_비용설정'!$D$6:$D$55,"&lt;="&amp;B85,'3_채널별_비용설정'!$O$6:$O$55,"&gt;="&amp;B85)&gt;1,"기간 중복 확인","정상"))))</f>
      </c>
      <c r="K85" s="15" t="str">
        <f>IF(J85="","",IF(J85&lt;&gt;"정상","비용 설정 필요",SUMIFS('3_채널별_비용설정'!$F$6:$F$55,'3_채널별_비용설정'!$C$6:$C$55,C85,'3_채널별_비용설정'!$D$6:$D$55,"&lt;="&amp;B85,'3_채널별_비용설정'!$O$6:$O$55,"&gt;="&amp;B85)))</f>
      </c>
      <c r="L85" s="12" t="str">
        <f>IF(J85="","",IF(J85&lt;&gt;"정상","비용 설정 필요",ROUND(G85*K85,0)))</f>
      </c>
      <c r="M85" s="12" t="str">
        <f>IF(J85="","",IF(J85&lt;&gt;"정상","비용 설정 필요",SUMIFS('3_채널별_비용설정'!$L$6:$L$55,'3_채널별_비용설정'!$C$6:$C$55,C85,'3_채널별_비용설정'!$D$6:$D$55,"&lt;="&amp;B85,'3_채널별_비용설정'!$O$6:$O$55,"&gt;="&amp;B85)))</f>
      </c>
      <c r="N85" s="12" t="str">
        <f>IF(J85="","",IF(J85&lt;&gt;"정상","비용 설정 필요",SUMIFS('3_채널별_비용설정'!$M$6:$M$55,'3_채널별_비용설정'!$C$6:$C$55,C85,'3_채널별_비용설정'!$D$6:$D$55,"&lt;="&amp;B85,'3_채널별_비용설정'!$O$6:$O$55,"&gt;="&amp;B85)))</f>
      </c>
      <c r="O85" s="12" t="str">
        <f>IF(J85="","",IF(J85&lt;&gt;"정상","비용 설정 필요",(D85*M85)+(E85*N85)))</f>
      </c>
      <c r="P85" s="12" t="str">
        <f>IF(J85="","",IF(J85&lt;&gt;"정상","비용 설정 필요",L85+O85+H85))</f>
      </c>
      <c r="Q85" s="13" t="str">
        <f>IF(J85="","",IF(J85&lt;&gt;"정상","비용 설정 필요",G85-P85))</f>
      </c>
      <c r="R85" s="14" t="str">
        <f>IF(J85="","",IF(J85&lt;&gt;"정상","비용 설정 필요",IFERROR(Q85/G85,0)))</f>
      </c>
    </row>
    <row r="86">
      <c r="B86" s="7"/>
      <c r="C86" s="5"/>
      <c r="D86" s="8"/>
      <c r="E86" s="8"/>
      <c r="F86" s="12" t="str">
        <f>IF(AND(B86="",C86=""),"",SUM(D86:E86))</f>
      </c>
      <c r="G86" s="8"/>
      <c r="H86" s="8"/>
      <c r="I86" s="6"/>
      <c r="J86" s="10" t="str">
        <f>IF(AND(B86="",C86=""),"",IF(OR(B86="",C86=""),"비용 설정 필요",IF(COUNTIFS('3_채널별_비용설정'!$C$6:$C$55,C86,'3_채널별_비용설정'!$D$6:$D$55,"&lt;="&amp;B86,'3_채널별_비용설정'!$O$6:$O$55,"&gt;="&amp;B86)=0,"비용 설정 필요",IF(COUNTIFS('3_채널별_비용설정'!$C$6:$C$55,C86,'3_채널별_비용설정'!$D$6:$D$55,"&lt;="&amp;B86,'3_채널별_비용설정'!$O$6:$O$55,"&gt;="&amp;B86)&gt;1,"기간 중복 확인","정상"))))</f>
      </c>
      <c r="K86" s="15" t="str">
        <f>IF(J86="","",IF(J86&lt;&gt;"정상","비용 설정 필요",SUMIFS('3_채널별_비용설정'!$F$6:$F$55,'3_채널별_비용설정'!$C$6:$C$55,C86,'3_채널별_비용설정'!$D$6:$D$55,"&lt;="&amp;B86,'3_채널별_비용설정'!$O$6:$O$55,"&gt;="&amp;B86)))</f>
      </c>
      <c r="L86" s="12" t="str">
        <f>IF(J86="","",IF(J86&lt;&gt;"정상","비용 설정 필요",ROUND(G86*K86,0)))</f>
      </c>
      <c r="M86" s="12" t="str">
        <f>IF(J86="","",IF(J86&lt;&gt;"정상","비용 설정 필요",SUMIFS('3_채널별_비용설정'!$L$6:$L$55,'3_채널별_비용설정'!$C$6:$C$55,C86,'3_채널별_비용설정'!$D$6:$D$55,"&lt;="&amp;B86,'3_채널별_비용설정'!$O$6:$O$55,"&gt;="&amp;B86)))</f>
      </c>
      <c r="N86" s="12" t="str">
        <f>IF(J86="","",IF(J86&lt;&gt;"정상","비용 설정 필요",SUMIFS('3_채널별_비용설정'!$M$6:$M$55,'3_채널별_비용설정'!$C$6:$C$55,C86,'3_채널별_비용설정'!$D$6:$D$55,"&lt;="&amp;B86,'3_채널별_비용설정'!$O$6:$O$55,"&gt;="&amp;B86)))</f>
      </c>
      <c r="O86" s="12" t="str">
        <f>IF(J86="","",IF(J86&lt;&gt;"정상","비용 설정 필요",(D86*M86)+(E86*N86)))</f>
      </c>
      <c r="P86" s="12" t="str">
        <f>IF(J86="","",IF(J86&lt;&gt;"정상","비용 설정 필요",L86+O86+H86))</f>
      </c>
      <c r="Q86" s="13" t="str">
        <f>IF(J86="","",IF(J86&lt;&gt;"정상","비용 설정 필요",G86-P86))</f>
      </c>
      <c r="R86" s="14" t="str">
        <f>IF(J86="","",IF(J86&lt;&gt;"정상","비용 설정 필요",IFERROR(Q86/G86,0)))</f>
      </c>
    </row>
    <row r="87">
      <c r="B87" s="7"/>
      <c r="C87" s="5"/>
      <c r="D87" s="8"/>
      <c r="E87" s="8"/>
      <c r="F87" s="12" t="str">
        <f>IF(AND(B87="",C87=""),"",SUM(D87:E87))</f>
      </c>
      <c r="G87" s="8"/>
      <c r="H87" s="8"/>
      <c r="I87" s="6"/>
      <c r="J87" s="10" t="str">
        <f>IF(AND(B87="",C87=""),"",IF(OR(B87="",C87=""),"비용 설정 필요",IF(COUNTIFS('3_채널별_비용설정'!$C$6:$C$55,C87,'3_채널별_비용설정'!$D$6:$D$55,"&lt;="&amp;B87,'3_채널별_비용설정'!$O$6:$O$55,"&gt;="&amp;B87)=0,"비용 설정 필요",IF(COUNTIFS('3_채널별_비용설정'!$C$6:$C$55,C87,'3_채널별_비용설정'!$D$6:$D$55,"&lt;="&amp;B87,'3_채널별_비용설정'!$O$6:$O$55,"&gt;="&amp;B87)&gt;1,"기간 중복 확인","정상"))))</f>
      </c>
      <c r="K87" s="15" t="str">
        <f>IF(J87="","",IF(J87&lt;&gt;"정상","비용 설정 필요",SUMIFS('3_채널별_비용설정'!$F$6:$F$55,'3_채널별_비용설정'!$C$6:$C$55,C87,'3_채널별_비용설정'!$D$6:$D$55,"&lt;="&amp;B87,'3_채널별_비용설정'!$O$6:$O$55,"&gt;="&amp;B87)))</f>
      </c>
      <c r="L87" s="12" t="str">
        <f>IF(J87="","",IF(J87&lt;&gt;"정상","비용 설정 필요",ROUND(G87*K87,0)))</f>
      </c>
      <c r="M87" s="12" t="str">
        <f>IF(J87="","",IF(J87&lt;&gt;"정상","비용 설정 필요",SUMIFS('3_채널별_비용설정'!$L$6:$L$55,'3_채널별_비용설정'!$C$6:$C$55,C87,'3_채널별_비용설정'!$D$6:$D$55,"&lt;="&amp;B87,'3_채널별_비용설정'!$O$6:$O$55,"&gt;="&amp;B87)))</f>
      </c>
      <c r="N87" s="12" t="str">
        <f>IF(J87="","",IF(J87&lt;&gt;"정상","비용 설정 필요",SUMIFS('3_채널별_비용설정'!$M$6:$M$55,'3_채널별_비용설정'!$C$6:$C$55,C87,'3_채널별_비용설정'!$D$6:$D$55,"&lt;="&amp;B87,'3_채널별_비용설정'!$O$6:$O$55,"&gt;="&amp;B87)))</f>
      </c>
      <c r="O87" s="12" t="str">
        <f>IF(J87="","",IF(J87&lt;&gt;"정상","비용 설정 필요",(D87*M87)+(E87*N87)))</f>
      </c>
      <c r="P87" s="12" t="str">
        <f>IF(J87="","",IF(J87&lt;&gt;"정상","비용 설정 필요",L87+O87+H87))</f>
      </c>
      <c r="Q87" s="13" t="str">
        <f>IF(J87="","",IF(J87&lt;&gt;"정상","비용 설정 필요",G87-P87))</f>
      </c>
      <c r="R87" s="14" t="str">
        <f>IF(J87="","",IF(J87&lt;&gt;"정상","비용 설정 필요",IFERROR(Q87/G87,0)))</f>
      </c>
    </row>
    <row r="88">
      <c r="B88" s="7"/>
      <c r="C88" s="5"/>
      <c r="D88" s="8"/>
      <c r="E88" s="8"/>
      <c r="F88" s="12" t="str">
        <f>IF(AND(B88="",C88=""),"",SUM(D88:E88))</f>
      </c>
      <c r="G88" s="8"/>
      <c r="H88" s="8"/>
      <c r="I88" s="6"/>
      <c r="J88" s="10" t="str">
        <f>IF(AND(B88="",C88=""),"",IF(OR(B88="",C88=""),"비용 설정 필요",IF(COUNTIFS('3_채널별_비용설정'!$C$6:$C$55,C88,'3_채널별_비용설정'!$D$6:$D$55,"&lt;="&amp;B88,'3_채널별_비용설정'!$O$6:$O$55,"&gt;="&amp;B88)=0,"비용 설정 필요",IF(COUNTIFS('3_채널별_비용설정'!$C$6:$C$55,C88,'3_채널별_비용설정'!$D$6:$D$55,"&lt;="&amp;B88,'3_채널별_비용설정'!$O$6:$O$55,"&gt;="&amp;B88)&gt;1,"기간 중복 확인","정상"))))</f>
      </c>
      <c r="K88" s="15" t="str">
        <f>IF(J88="","",IF(J88&lt;&gt;"정상","비용 설정 필요",SUMIFS('3_채널별_비용설정'!$F$6:$F$55,'3_채널별_비용설정'!$C$6:$C$55,C88,'3_채널별_비용설정'!$D$6:$D$55,"&lt;="&amp;B88,'3_채널별_비용설정'!$O$6:$O$55,"&gt;="&amp;B88)))</f>
      </c>
      <c r="L88" s="12" t="str">
        <f>IF(J88="","",IF(J88&lt;&gt;"정상","비용 설정 필요",ROUND(G88*K88,0)))</f>
      </c>
      <c r="M88" s="12" t="str">
        <f>IF(J88="","",IF(J88&lt;&gt;"정상","비용 설정 필요",SUMIFS('3_채널별_비용설정'!$L$6:$L$55,'3_채널별_비용설정'!$C$6:$C$55,C88,'3_채널별_비용설정'!$D$6:$D$55,"&lt;="&amp;B88,'3_채널별_비용설정'!$O$6:$O$55,"&gt;="&amp;B88)))</f>
      </c>
      <c r="N88" s="12" t="str">
        <f>IF(J88="","",IF(J88&lt;&gt;"정상","비용 설정 필요",SUMIFS('3_채널별_비용설정'!$M$6:$M$55,'3_채널별_비용설정'!$C$6:$C$55,C88,'3_채널별_비용설정'!$D$6:$D$55,"&lt;="&amp;B88,'3_채널별_비용설정'!$O$6:$O$55,"&gt;="&amp;B88)))</f>
      </c>
      <c r="O88" s="12" t="str">
        <f>IF(J88="","",IF(J88&lt;&gt;"정상","비용 설정 필요",(D88*M88)+(E88*N88)))</f>
      </c>
      <c r="P88" s="12" t="str">
        <f>IF(J88="","",IF(J88&lt;&gt;"정상","비용 설정 필요",L88+O88+H88))</f>
      </c>
      <c r="Q88" s="13" t="str">
        <f>IF(J88="","",IF(J88&lt;&gt;"정상","비용 설정 필요",G88-P88))</f>
      </c>
      <c r="R88" s="14" t="str">
        <f>IF(J88="","",IF(J88&lt;&gt;"정상","비용 설정 필요",IFERROR(Q88/G88,0)))</f>
      </c>
    </row>
    <row r="89">
      <c r="B89" s="7"/>
      <c r="C89" s="5"/>
      <c r="D89" s="8"/>
      <c r="E89" s="8"/>
      <c r="F89" s="12" t="str">
        <f>IF(AND(B89="",C89=""),"",SUM(D89:E89))</f>
      </c>
      <c r="G89" s="8"/>
      <c r="H89" s="8"/>
      <c r="I89" s="6"/>
      <c r="J89" s="10" t="str">
        <f>IF(AND(B89="",C89=""),"",IF(OR(B89="",C89=""),"비용 설정 필요",IF(COUNTIFS('3_채널별_비용설정'!$C$6:$C$55,C89,'3_채널별_비용설정'!$D$6:$D$55,"&lt;="&amp;B89,'3_채널별_비용설정'!$O$6:$O$55,"&gt;="&amp;B89)=0,"비용 설정 필요",IF(COUNTIFS('3_채널별_비용설정'!$C$6:$C$55,C89,'3_채널별_비용설정'!$D$6:$D$55,"&lt;="&amp;B89,'3_채널별_비용설정'!$O$6:$O$55,"&gt;="&amp;B89)&gt;1,"기간 중복 확인","정상"))))</f>
      </c>
      <c r="K89" s="15" t="str">
        <f>IF(J89="","",IF(J89&lt;&gt;"정상","비용 설정 필요",SUMIFS('3_채널별_비용설정'!$F$6:$F$55,'3_채널별_비용설정'!$C$6:$C$55,C89,'3_채널별_비용설정'!$D$6:$D$55,"&lt;="&amp;B89,'3_채널별_비용설정'!$O$6:$O$55,"&gt;="&amp;B89)))</f>
      </c>
      <c r="L89" s="12" t="str">
        <f>IF(J89="","",IF(J89&lt;&gt;"정상","비용 설정 필요",ROUND(G89*K89,0)))</f>
      </c>
      <c r="M89" s="12" t="str">
        <f>IF(J89="","",IF(J89&lt;&gt;"정상","비용 설정 필요",SUMIFS('3_채널별_비용설정'!$L$6:$L$55,'3_채널별_비용설정'!$C$6:$C$55,C89,'3_채널별_비용설정'!$D$6:$D$55,"&lt;="&amp;B89,'3_채널별_비용설정'!$O$6:$O$55,"&gt;="&amp;B89)))</f>
      </c>
      <c r="N89" s="12" t="str">
        <f>IF(J89="","",IF(J89&lt;&gt;"정상","비용 설정 필요",SUMIFS('3_채널별_비용설정'!$M$6:$M$55,'3_채널별_비용설정'!$C$6:$C$55,C89,'3_채널별_비용설정'!$D$6:$D$55,"&lt;="&amp;B89,'3_채널별_비용설정'!$O$6:$O$55,"&gt;="&amp;B89)))</f>
      </c>
      <c r="O89" s="12" t="str">
        <f>IF(J89="","",IF(J89&lt;&gt;"정상","비용 설정 필요",(D89*M89)+(E89*N89)))</f>
      </c>
      <c r="P89" s="12" t="str">
        <f>IF(J89="","",IF(J89&lt;&gt;"정상","비용 설정 필요",L89+O89+H89))</f>
      </c>
      <c r="Q89" s="13" t="str">
        <f>IF(J89="","",IF(J89&lt;&gt;"정상","비용 설정 필요",G89-P89))</f>
      </c>
      <c r="R89" s="14" t="str">
        <f>IF(J89="","",IF(J89&lt;&gt;"정상","비용 설정 필요",IFERROR(Q89/G89,0)))</f>
      </c>
    </row>
    <row r="90">
      <c r="B90" s="7"/>
      <c r="C90" s="5"/>
      <c r="D90" s="8"/>
      <c r="E90" s="8"/>
      <c r="F90" s="12" t="str">
        <f>IF(AND(B90="",C90=""),"",SUM(D90:E90))</f>
      </c>
      <c r="G90" s="8"/>
      <c r="H90" s="8"/>
      <c r="I90" s="6"/>
      <c r="J90" s="10" t="str">
        <f>IF(AND(B90="",C90=""),"",IF(OR(B90="",C90=""),"비용 설정 필요",IF(COUNTIFS('3_채널별_비용설정'!$C$6:$C$55,C90,'3_채널별_비용설정'!$D$6:$D$55,"&lt;="&amp;B90,'3_채널별_비용설정'!$O$6:$O$55,"&gt;="&amp;B90)=0,"비용 설정 필요",IF(COUNTIFS('3_채널별_비용설정'!$C$6:$C$55,C90,'3_채널별_비용설정'!$D$6:$D$55,"&lt;="&amp;B90,'3_채널별_비용설정'!$O$6:$O$55,"&gt;="&amp;B90)&gt;1,"기간 중복 확인","정상"))))</f>
      </c>
      <c r="K90" s="15" t="str">
        <f>IF(J90="","",IF(J90&lt;&gt;"정상","비용 설정 필요",SUMIFS('3_채널별_비용설정'!$F$6:$F$55,'3_채널별_비용설정'!$C$6:$C$55,C90,'3_채널별_비용설정'!$D$6:$D$55,"&lt;="&amp;B90,'3_채널별_비용설정'!$O$6:$O$55,"&gt;="&amp;B90)))</f>
      </c>
      <c r="L90" s="12" t="str">
        <f>IF(J90="","",IF(J90&lt;&gt;"정상","비용 설정 필요",ROUND(G90*K90,0)))</f>
      </c>
      <c r="M90" s="12" t="str">
        <f>IF(J90="","",IF(J90&lt;&gt;"정상","비용 설정 필요",SUMIFS('3_채널별_비용설정'!$L$6:$L$55,'3_채널별_비용설정'!$C$6:$C$55,C90,'3_채널별_비용설정'!$D$6:$D$55,"&lt;="&amp;B90,'3_채널별_비용설정'!$O$6:$O$55,"&gt;="&amp;B90)))</f>
      </c>
      <c r="N90" s="12" t="str">
        <f>IF(J90="","",IF(J90&lt;&gt;"정상","비용 설정 필요",SUMIFS('3_채널별_비용설정'!$M$6:$M$55,'3_채널별_비용설정'!$C$6:$C$55,C90,'3_채널별_비용설정'!$D$6:$D$55,"&lt;="&amp;B90,'3_채널별_비용설정'!$O$6:$O$55,"&gt;="&amp;B90)))</f>
      </c>
      <c r="O90" s="12" t="str">
        <f>IF(J90="","",IF(J90&lt;&gt;"정상","비용 설정 필요",(D90*M90)+(E90*N90)))</f>
      </c>
      <c r="P90" s="12" t="str">
        <f>IF(J90="","",IF(J90&lt;&gt;"정상","비용 설정 필요",L90+O90+H90))</f>
      </c>
      <c r="Q90" s="13" t="str">
        <f>IF(J90="","",IF(J90&lt;&gt;"정상","비용 설정 필요",G90-P90))</f>
      </c>
      <c r="R90" s="14" t="str">
        <f>IF(J90="","",IF(J90&lt;&gt;"정상","비용 설정 필요",IFERROR(Q90/G90,0)))</f>
      </c>
    </row>
    <row r="91">
      <c r="B91" s="7"/>
      <c r="C91" s="5"/>
      <c r="D91" s="8"/>
      <c r="E91" s="8"/>
      <c r="F91" s="12" t="str">
        <f>IF(AND(B91="",C91=""),"",SUM(D91:E91))</f>
      </c>
      <c r="G91" s="8"/>
      <c r="H91" s="8"/>
      <c r="I91" s="6"/>
      <c r="J91" s="10" t="str">
        <f>IF(AND(B91="",C91=""),"",IF(OR(B91="",C91=""),"비용 설정 필요",IF(COUNTIFS('3_채널별_비용설정'!$C$6:$C$55,C91,'3_채널별_비용설정'!$D$6:$D$55,"&lt;="&amp;B91,'3_채널별_비용설정'!$O$6:$O$55,"&gt;="&amp;B91)=0,"비용 설정 필요",IF(COUNTIFS('3_채널별_비용설정'!$C$6:$C$55,C91,'3_채널별_비용설정'!$D$6:$D$55,"&lt;="&amp;B91,'3_채널별_비용설정'!$O$6:$O$55,"&gt;="&amp;B91)&gt;1,"기간 중복 확인","정상"))))</f>
      </c>
      <c r="K91" s="15" t="str">
        <f>IF(J91="","",IF(J91&lt;&gt;"정상","비용 설정 필요",SUMIFS('3_채널별_비용설정'!$F$6:$F$55,'3_채널별_비용설정'!$C$6:$C$55,C91,'3_채널별_비용설정'!$D$6:$D$55,"&lt;="&amp;B91,'3_채널별_비용설정'!$O$6:$O$55,"&gt;="&amp;B91)))</f>
      </c>
      <c r="L91" s="12" t="str">
        <f>IF(J91="","",IF(J91&lt;&gt;"정상","비용 설정 필요",ROUND(G91*K91,0)))</f>
      </c>
      <c r="M91" s="12" t="str">
        <f>IF(J91="","",IF(J91&lt;&gt;"정상","비용 설정 필요",SUMIFS('3_채널별_비용설정'!$L$6:$L$55,'3_채널별_비용설정'!$C$6:$C$55,C91,'3_채널별_비용설정'!$D$6:$D$55,"&lt;="&amp;B91,'3_채널별_비용설정'!$O$6:$O$55,"&gt;="&amp;B91)))</f>
      </c>
      <c r="N91" s="12" t="str">
        <f>IF(J91="","",IF(J91&lt;&gt;"정상","비용 설정 필요",SUMIFS('3_채널별_비용설정'!$M$6:$M$55,'3_채널별_비용설정'!$C$6:$C$55,C91,'3_채널별_비용설정'!$D$6:$D$55,"&lt;="&amp;B91,'3_채널별_비용설정'!$O$6:$O$55,"&gt;="&amp;B91)))</f>
      </c>
      <c r="O91" s="12" t="str">
        <f>IF(J91="","",IF(J91&lt;&gt;"정상","비용 설정 필요",(D91*M91)+(E91*N91)))</f>
      </c>
      <c r="P91" s="12" t="str">
        <f>IF(J91="","",IF(J91&lt;&gt;"정상","비용 설정 필요",L91+O91+H91))</f>
      </c>
      <c r="Q91" s="13" t="str">
        <f>IF(J91="","",IF(J91&lt;&gt;"정상","비용 설정 필요",G91-P91))</f>
      </c>
      <c r="R91" s="14" t="str">
        <f>IF(J91="","",IF(J91&lt;&gt;"정상","비용 설정 필요",IFERROR(Q91/G91,0)))</f>
      </c>
    </row>
    <row r="92">
      <c r="B92" s="7"/>
      <c r="C92" s="5"/>
      <c r="D92" s="8"/>
      <c r="E92" s="8"/>
      <c r="F92" s="12" t="str">
        <f>IF(AND(B92="",C92=""),"",SUM(D92:E92))</f>
      </c>
      <c r="G92" s="8"/>
      <c r="H92" s="8"/>
      <c r="I92" s="6"/>
      <c r="J92" s="10" t="str">
        <f>IF(AND(B92="",C92=""),"",IF(OR(B92="",C92=""),"비용 설정 필요",IF(COUNTIFS('3_채널별_비용설정'!$C$6:$C$55,C92,'3_채널별_비용설정'!$D$6:$D$55,"&lt;="&amp;B92,'3_채널별_비용설정'!$O$6:$O$55,"&gt;="&amp;B92)=0,"비용 설정 필요",IF(COUNTIFS('3_채널별_비용설정'!$C$6:$C$55,C92,'3_채널별_비용설정'!$D$6:$D$55,"&lt;="&amp;B92,'3_채널별_비용설정'!$O$6:$O$55,"&gt;="&amp;B92)&gt;1,"기간 중복 확인","정상"))))</f>
      </c>
      <c r="K92" s="15" t="str">
        <f>IF(J92="","",IF(J92&lt;&gt;"정상","비용 설정 필요",SUMIFS('3_채널별_비용설정'!$F$6:$F$55,'3_채널별_비용설정'!$C$6:$C$55,C92,'3_채널별_비용설정'!$D$6:$D$55,"&lt;="&amp;B92,'3_채널별_비용설정'!$O$6:$O$55,"&gt;="&amp;B92)))</f>
      </c>
      <c r="L92" s="12" t="str">
        <f>IF(J92="","",IF(J92&lt;&gt;"정상","비용 설정 필요",ROUND(G92*K92,0)))</f>
      </c>
      <c r="M92" s="12" t="str">
        <f>IF(J92="","",IF(J92&lt;&gt;"정상","비용 설정 필요",SUMIFS('3_채널별_비용설정'!$L$6:$L$55,'3_채널별_비용설정'!$C$6:$C$55,C92,'3_채널별_비용설정'!$D$6:$D$55,"&lt;="&amp;B92,'3_채널별_비용설정'!$O$6:$O$55,"&gt;="&amp;B92)))</f>
      </c>
      <c r="N92" s="12" t="str">
        <f>IF(J92="","",IF(J92&lt;&gt;"정상","비용 설정 필요",SUMIFS('3_채널별_비용설정'!$M$6:$M$55,'3_채널별_비용설정'!$C$6:$C$55,C92,'3_채널별_비용설정'!$D$6:$D$55,"&lt;="&amp;B92,'3_채널별_비용설정'!$O$6:$O$55,"&gt;="&amp;B92)))</f>
      </c>
      <c r="O92" s="12" t="str">
        <f>IF(J92="","",IF(J92&lt;&gt;"정상","비용 설정 필요",(D92*M92)+(E92*N92)))</f>
      </c>
      <c r="P92" s="12" t="str">
        <f>IF(J92="","",IF(J92&lt;&gt;"정상","비용 설정 필요",L92+O92+H92))</f>
      </c>
      <c r="Q92" s="13" t="str">
        <f>IF(J92="","",IF(J92&lt;&gt;"정상","비용 설정 필요",G92-P92))</f>
      </c>
      <c r="R92" s="14" t="str">
        <f>IF(J92="","",IF(J92&lt;&gt;"정상","비용 설정 필요",IFERROR(Q92/G92,0)))</f>
      </c>
    </row>
    <row r="93">
      <c r="B93" s="7"/>
      <c r="C93" s="5"/>
      <c r="D93" s="8"/>
      <c r="E93" s="8"/>
      <c r="F93" s="12" t="str">
        <f>IF(AND(B93="",C93=""),"",SUM(D93:E93))</f>
      </c>
      <c r="G93" s="8"/>
      <c r="H93" s="8"/>
      <c r="I93" s="6"/>
      <c r="J93" s="10" t="str">
        <f>IF(AND(B93="",C93=""),"",IF(OR(B93="",C93=""),"비용 설정 필요",IF(COUNTIFS('3_채널별_비용설정'!$C$6:$C$55,C93,'3_채널별_비용설정'!$D$6:$D$55,"&lt;="&amp;B93,'3_채널별_비용설정'!$O$6:$O$55,"&gt;="&amp;B93)=0,"비용 설정 필요",IF(COUNTIFS('3_채널별_비용설정'!$C$6:$C$55,C93,'3_채널별_비용설정'!$D$6:$D$55,"&lt;="&amp;B93,'3_채널별_비용설정'!$O$6:$O$55,"&gt;="&amp;B93)&gt;1,"기간 중복 확인","정상"))))</f>
      </c>
      <c r="K93" s="15" t="str">
        <f>IF(J93="","",IF(J93&lt;&gt;"정상","비용 설정 필요",SUMIFS('3_채널별_비용설정'!$F$6:$F$55,'3_채널별_비용설정'!$C$6:$C$55,C93,'3_채널별_비용설정'!$D$6:$D$55,"&lt;="&amp;B93,'3_채널별_비용설정'!$O$6:$O$55,"&gt;="&amp;B93)))</f>
      </c>
      <c r="L93" s="12" t="str">
        <f>IF(J93="","",IF(J93&lt;&gt;"정상","비용 설정 필요",ROUND(G93*K93,0)))</f>
      </c>
      <c r="M93" s="12" t="str">
        <f>IF(J93="","",IF(J93&lt;&gt;"정상","비용 설정 필요",SUMIFS('3_채널별_비용설정'!$L$6:$L$55,'3_채널별_비용설정'!$C$6:$C$55,C93,'3_채널별_비용설정'!$D$6:$D$55,"&lt;="&amp;B93,'3_채널별_비용설정'!$O$6:$O$55,"&gt;="&amp;B93)))</f>
      </c>
      <c r="N93" s="12" t="str">
        <f>IF(J93="","",IF(J93&lt;&gt;"정상","비용 설정 필요",SUMIFS('3_채널별_비용설정'!$M$6:$M$55,'3_채널별_비용설정'!$C$6:$C$55,C93,'3_채널별_비용설정'!$D$6:$D$55,"&lt;="&amp;B93,'3_채널별_비용설정'!$O$6:$O$55,"&gt;="&amp;B93)))</f>
      </c>
      <c r="O93" s="12" t="str">
        <f>IF(J93="","",IF(J93&lt;&gt;"정상","비용 설정 필요",(D93*M93)+(E93*N93)))</f>
      </c>
      <c r="P93" s="12" t="str">
        <f>IF(J93="","",IF(J93&lt;&gt;"정상","비용 설정 필요",L93+O93+H93))</f>
      </c>
      <c r="Q93" s="13" t="str">
        <f>IF(J93="","",IF(J93&lt;&gt;"정상","비용 설정 필요",G93-P93))</f>
      </c>
      <c r="R93" s="14" t="str">
        <f>IF(J93="","",IF(J93&lt;&gt;"정상","비용 설정 필요",IFERROR(Q93/G93,0)))</f>
      </c>
    </row>
    <row r="94">
      <c r="B94" s="7"/>
      <c r="C94" s="5"/>
      <c r="D94" s="8"/>
      <c r="E94" s="8"/>
      <c r="F94" s="12" t="str">
        <f>IF(AND(B94="",C94=""),"",SUM(D94:E94))</f>
      </c>
      <c r="G94" s="8"/>
      <c r="H94" s="8"/>
      <c r="I94" s="6"/>
      <c r="J94" s="10" t="str">
        <f>IF(AND(B94="",C94=""),"",IF(OR(B94="",C94=""),"비용 설정 필요",IF(COUNTIFS('3_채널별_비용설정'!$C$6:$C$55,C94,'3_채널별_비용설정'!$D$6:$D$55,"&lt;="&amp;B94,'3_채널별_비용설정'!$O$6:$O$55,"&gt;="&amp;B94)=0,"비용 설정 필요",IF(COUNTIFS('3_채널별_비용설정'!$C$6:$C$55,C94,'3_채널별_비용설정'!$D$6:$D$55,"&lt;="&amp;B94,'3_채널별_비용설정'!$O$6:$O$55,"&gt;="&amp;B94)&gt;1,"기간 중복 확인","정상"))))</f>
      </c>
      <c r="K94" s="15" t="str">
        <f>IF(J94="","",IF(J94&lt;&gt;"정상","비용 설정 필요",SUMIFS('3_채널별_비용설정'!$F$6:$F$55,'3_채널별_비용설정'!$C$6:$C$55,C94,'3_채널별_비용설정'!$D$6:$D$55,"&lt;="&amp;B94,'3_채널별_비용설정'!$O$6:$O$55,"&gt;="&amp;B94)))</f>
      </c>
      <c r="L94" s="12" t="str">
        <f>IF(J94="","",IF(J94&lt;&gt;"정상","비용 설정 필요",ROUND(G94*K94,0)))</f>
      </c>
      <c r="M94" s="12" t="str">
        <f>IF(J94="","",IF(J94&lt;&gt;"정상","비용 설정 필요",SUMIFS('3_채널별_비용설정'!$L$6:$L$55,'3_채널별_비용설정'!$C$6:$C$55,C94,'3_채널별_비용설정'!$D$6:$D$55,"&lt;="&amp;B94,'3_채널별_비용설정'!$O$6:$O$55,"&gt;="&amp;B94)))</f>
      </c>
      <c r="N94" s="12" t="str">
        <f>IF(J94="","",IF(J94&lt;&gt;"정상","비용 설정 필요",SUMIFS('3_채널별_비용설정'!$M$6:$M$55,'3_채널별_비용설정'!$C$6:$C$55,C94,'3_채널별_비용설정'!$D$6:$D$55,"&lt;="&amp;B94,'3_채널별_비용설정'!$O$6:$O$55,"&gt;="&amp;B94)))</f>
      </c>
      <c r="O94" s="12" t="str">
        <f>IF(J94="","",IF(J94&lt;&gt;"정상","비용 설정 필요",(D94*M94)+(E94*N94)))</f>
      </c>
      <c r="P94" s="12" t="str">
        <f>IF(J94="","",IF(J94&lt;&gt;"정상","비용 설정 필요",L94+O94+H94))</f>
      </c>
      <c r="Q94" s="13" t="str">
        <f>IF(J94="","",IF(J94&lt;&gt;"정상","비용 설정 필요",G94-P94))</f>
      </c>
      <c r="R94" s="14" t="str">
        <f>IF(J94="","",IF(J94&lt;&gt;"정상","비용 설정 필요",IFERROR(Q94/G94,0)))</f>
      </c>
    </row>
    <row r="95">
      <c r="B95" s="7"/>
      <c r="C95" s="5"/>
      <c r="D95" s="8"/>
      <c r="E95" s="8"/>
      <c r="F95" s="12" t="str">
        <f>IF(AND(B95="",C95=""),"",SUM(D95:E95))</f>
      </c>
      <c r="G95" s="8"/>
      <c r="H95" s="8"/>
      <c r="I95" s="6"/>
      <c r="J95" s="10" t="str">
        <f>IF(AND(B95="",C95=""),"",IF(OR(B95="",C95=""),"비용 설정 필요",IF(COUNTIFS('3_채널별_비용설정'!$C$6:$C$55,C95,'3_채널별_비용설정'!$D$6:$D$55,"&lt;="&amp;B95,'3_채널별_비용설정'!$O$6:$O$55,"&gt;="&amp;B95)=0,"비용 설정 필요",IF(COUNTIFS('3_채널별_비용설정'!$C$6:$C$55,C95,'3_채널별_비용설정'!$D$6:$D$55,"&lt;="&amp;B95,'3_채널별_비용설정'!$O$6:$O$55,"&gt;="&amp;B95)&gt;1,"기간 중복 확인","정상"))))</f>
      </c>
      <c r="K95" s="15" t="str">
        <f>IF(J95="","",IF(J95&lt;&gt;"정상","비용 설정 필요",SUMIFS('3_채널별_비용설정'!$F$6:$F$55,'3_채널별_비용설정'!$C$6:$C$55,C95,'3_채널별_비용설정'!$D$6:$D$55,"&lt;="&amp;B95,'3_채널별_비용설정'!$O$6:$O$55,"&gt;="&amp;B95)))</f>
      </c>
      <c r="L95" s="12" t="str">
        <f>IF(J95="","",IF(J95&lt;&gt;"정상","비용 설정 필요",ROUND(G95*K95,0)))</f>
      </c>
      <c r="M95" s="12" t="str">
        <f>IF(J95="","",IF(J95&lt;&gt;"정상","비용 설정 필요",SUMIFS('3_채널별_비용설정'!$L$6:$L$55,'3_채널별_비용설정'!$C$6:$C$55,C95,'3_채널별_비용설정'!$D$6:$D$55,"&lt;="&amp;B95,'3_채널별_비용설정'!$O$6:$O$55,"&gt;="&amp;B95)))</f>
      </c>
      <c r="N95" s="12" t="str">
        <f>IF(J95="","",IF(J95&lt;&gt;"정상","비용 설정 필요",SUMIFS('3_채널별_비용설정'!$M$6:$M$55,'3_채널별_비용설정'!$C$6:$C$55,C95,'3_채널별_비용설정'!$D$6:$D$55,"&lt;="&amp;B95,'3_채널별_비용설정'!$O$6:$O$55,"&gt;="&amp;B95)))</f>
      </c>
      <c r="O95" s="12" t="str">
        <f>IF(J95="","",IF(J95&lt;&gt;"정상","비용 설정 필요",(D95*M95)+(E95*N95)))</f>
      </c>
      <c r="P95" s="12" t="str">
        <f>IF(J95="","",IF(J95&lt;&gt;"정상","비용 설정 필요",L95+O95+H95))</f>
      </c>
      <c r="Q95" s="13" t="str">
        <f>IF(J95="","",IF(J95&lt;&gt;"정상","비용 설정 필요",G95-P95))</f>
      </c>
      <c r="R95" s="14" t="str">
        <f>IF(J95="","",IF(J95&lt;&gt;"정상","비용 설정 필요",IFERROR(Q95/G95,0)))</f>
      </c>
    </row>
    <row r="96">
      <c r="B96" s="7"/>
      <c r="C96" s="5"/>
      <c r="D96" s="8"/>
      <c r="E96" s="8"/>
      <c r="F96" s="12" t="str">
        <f>IF(AND(B96="",C96=""),"",SUM(D96:E96))</f>
      </c>
      <c r="G96" s="8"/>
      <c r="H96" s="8"/>
      <c r="I96" s="6"/>
      <c r="J96" s="10" t="str">
        <f>IF(AND(B96="",C96=""),"",IF(OR(B96="",C96=""),"비용 설정 필요",IF(COUNTIFS('3_채널별_비용설정'!$C$6:$C$55,C96,'3_채널별_비용설정'!$D$6:$D$55,"&lt;="&amp;B96,'3_채널별_비용설정'!$O$6:$O$55,"&gt;="&amp;B96)=0,"비용 설정 필요",IF(COUNTIFS('3_채널별_비용설정'!$C$6:$C$55,C96,'3_채널별_비용설정'!$D$6:$D$55,"&lt;="&amp;B96,'3_채널별_비용설정'!$O$6:$O$55,"&gt;="&amp;B96)&gt;1,"기간 중복 확인","정상"))))</f>
      </c>
      <c r="K96" s="15" t="str">
        <f>IF(J96="","",IF(J96&lt;&gt;"정상","비용 설정 필요",SUMIFS('3_채널별_비용설정'!$F$6:$F$55,'3_채널별_비용설정'!$C$6:$C$55,C96,'3_채널별_비용설정'!$D$6:$D$55,"&lt;="&amp;B96,'3_채널별_비용설정'!$O$6:$O$55,"&gt;="&amp;B96)))</f>
      </c>
      <c r="L96" s="12" t="str">
        <f>IF(J96="","",IF(J96&lt;&gt;"정상","비용 설정 필요",ROUND(G96*K96,0)))</f>
      </c>
      <c r="M96" s="12" t="str">
        <f>IF(J96="","",IF(J96&lt;&gt;"정상","비용 설정 필요",SUMIFS('3_채널별_비용설정'!$L$6:$L$55,'3_채널별_비용설정'!$C$6:$C$55,C96,'3_채널별_비용설정'!$D$6:$D$55,"&lt;="&amp;B96,'3_채널별_비용설정'!$O$6:$O$55,"&gt;="&amp;B96)))</f>
      </c>
      <c r="N96" s="12" t="str">
        <f>IF(J96="","",IF(J96&lt;&gt;"정상","비용 설정 필요",SUMIFS('3_채널별_비용설정'!$M$6:$M$55,'3_채널별_비용설정'!$C$6:$C$55,C96,'3_채널별_비용설정'!$D$6:$D$55,"&lt;="&amp;B96,'3_채널별_비용설정'!$O$6:$O$55,"&gt;="&amp;B96)))</f>
      </c>
      <c r="O96" s="12" t="str">
        <f>IF(J96="","",IF(J96&lt;&gt;"정상","비용 설정 필요",(D96*M96)+(E96*N96)))</f>
      </c>
      <c r="P96" s="12" t="str">
        <f>IF(J96="","",IF(J96&lt;&gt;"정상","비용 설정 필요",L96+O96+H96))</f>
      </c>
      <c r="Q96" s="13" t="str">
        <f>IF(J96="","",IF(J96&lt;&gt;"정상","비용 설정 필요",G96-P96))</f>
      </c>
      <c r="R96" s="14" t="str">
        <f>IF(J96="","",IF(J96&lt;&gt;"정상","비용 설정 필요",IFERROR(Q96/G96,0)))</f>
      </c>
    </row>
    <row r="97">
      <c r="B97" s="7"/>
      <c r="C97" s="5"/>
      <c r="D97" s="8"/>
      <c r="E97" s="8"/>
      <c r="F97" s="12" t="str">
        <f>IF(AND(B97="",C97=""),"",SUM(D97:E97))</f>
      </c>
      <c r="G97" s="8"/>
      <c r="H97" s="8"/>
      <c r="I97" s="6"/>
      <c r="J97" s="10" t="str">
        <f>IF(AND(B97="",C97=""),"",IF(OR(B97="",C97=""),"비용 설정 필요",IF(COUNTIFS('3_채널별_비용설정'!$C$6:$C$55,C97,'3_채널별_비용설정'!$D$6:$D$55,"&lt;="&amp;B97,'3_채널별_비용설정'!$O$6:$O$55,"&gt;="&amp;B97)=0,"비용 설정 필요",IF(COUNTIFS('3_채널별_비용설정'!$C$6:$C$55,C97,'3_채널별_비용설정'!$D$6:$D$55,"&lt;="&amp;B97,'3_채널별_비용설정'!$O$6:$O$55,"&gt;="&amp;B97)&gt;1,"기간 중복 확인","정상"))))</f>
      </c>
      <c r="K97" s="15" t="str">
        <f>IF(J97="","",IF(J97&lt;&gt;"정상","비용 설정 필요",SUMIFS('3_채널별_비용설정'!$F$6:$F$55,'3_채널별_비용설정'!$C$6:$C$55,C97,'3_채널별_비용설정'!$D$6:$D$55,"&lt;="&amp;B97,'3_채널별_비용설정'!$O$6:$O$55,"&gt;="&amp;B97)))</f>
      </c>
      <c r="L97" s="12" t="str">
        <f>IF(J97="","",IF(J97&lt;&gt;"정상","비용 설정 필요",ROUND(G97*K97,0)))</f>
      </c>
      <c r="M97" s="12" t="str">
        <f>IF(J97="","",IF(J97&lt;&gt;"정상","비용 설정 필요",SUMIFS('3_채널별_비용설정'!$L$6:$L$55,'3_채널별_비용설정'!$C$6:$C$55,C97,'3_채널별_비용설정'!$D$6:$D$55,"&lt;="&amp;B97,'3_채널별_비용설정'!$O$6:$O$55,"&gt;="&amp;B97)))</f>
      </c>
      <c r="N97" s="12" t="str">
        <f>IF(J97="","",IF(J97&lt;&gt;"정상","비용 설정 필요",SUMIFS('3_채널별_비용설정'!$M$6:$M$55,'3_채널별_비용설정'!$C$6:$C$55,C97,'3_채널별_비용설정'!$D$6:$D$55,"&lt;="&amp;B97,'3_채널별_비용설정'!$O$6:$O$55,"&gt;="&amp;B97)))</f>
      </c>
      <c r="O97" s="12" t="str">
        <f>IF(J97="","",IF(J97&lt;&gt;"정상","비용 설정 필요",(D97*M97)+(E97*N97)))</f>
      </c>
      <c r="P97" s="12" t="str">
        <f>IF(J97="","",IF(J97&lt;&gt;"정상","비용 설정 필요",L97+O97+H97))</f>
      </c>
      <c r="Q97" s="13" t="str">
        <f>IF(J97="","",IF(J97&lt;&gt;"정상","비용 설정 필요",G97-P97))</f>
      </c>
      <c r="R97" s="14" t="str">
        <f>IF(J97="","",IF(J97&lt;&gt;"정상","비용 설정 필요",IFERROR(Q97/G97,0)))</f>
      </c>
    </row>
    <row r="98">
      <c r="B98" s="7"/>
      <c r="C98" s="5"/>
      <c r="D98" s="8"/>
      <c r="E98" s="8"/>
      <c r="F98" s="12" t="str">
        <f>IF(AND(B98="",C98=""),"",SUM(D98:E98))</f>
      </c>
      <c r="G98" s="8"/>
      <c r="H98" s="8"/>
      <c r="I98" s="6"/>
      <c r="J98" s="10" t="str">
        <f>IF(AND(B98="",C98=""),"",IF(OR(B98="",C98=""),"비용 설정 필요",IF(COUNTIFS('3_채널별_비용설정'!$C$6:$C$55,C98,'3_채널별_비용설정'!$D$6:$D$55,"&lt;="&amp;B98,'3_채널별_비용설정'!$O$6:$O$55,"&gt;="&amp;B98)=0,"비용 설정 필요",IF(COUNTIFS('3_채널별_비용설정'!$C$6:$C$55,C98,'3_채널별_비용설정'!$D$6:$D$55,"&lt;="&amp;B98,'3_채널별_비용설정'!$O$6:$O$55,"&gt;="&amp;B98)&gt;1,"기간 중복 확인","정상"))))</f>
      </c>
      <c r="K98" s="15" t="str">
        <f>IF(J98="","",IF(J98&lt;&gt;"정상","비용 설정 필요",SUMIFS('3_채널별_비용설정'!$F$6:$F$55,'3_채널별_비용설정'!$C$6:$C$55,C98,'3_채널별_비용설정'!$D$6:$D$55,"&lt;="&amp;B98,'3_채널별_비용설정'!$O$6:$O$55,"&gt;="&amp;B98)))</f>
      </c>
      <c r="L98" s="12" t="str">
        <f>IF(J98="","",IF(J98&lt;&gt;"정상","비용 설정 필요",ROUND(G98*K98,0)))</f>
      </c>
      <c r="M98" s="12" t="str">
        <f>IF(J98="","",IF(J98&lt;&gt;"정상","비용 설정 필요",SUMIFS('3_채널별_비용설정'!$L$6:$L$55,'3_채널별_비용설정'!$C$6:$C$55,C98,'3_채널별_비용설정'!$D$6:$D$55,"&lt;="&amp;B98,'3_채널별_비용설정'!$O$6:$O$55,"&gt;="&amp;B98)))</f>
      </c>
      <c r="N98" s="12" t="str">
        <f>IF(J98="","",IF(J98&lt;&gt;"정상","비용 설정 필요",SUMIFS('3_채널별_비용설정'!$M$6:$M$55,'3_채널별_비용설정'!$C$6:$C$55,C98,'3_채널별_비용설정'!$D$6:$D$55,"&lt;="&amp;B98,'3_채널별_비용설정'!$O$6:$O$55,"&gt;="&amp;B98)))</f>
      </c>
      <c r="O98" s="12" t="str">
        <f>IF(J98="","",IF(J98&lt;&gt;"정상","비용 설정 필요",(D98*M98)+(E98*N98)))</f>
      </c>
      <c r="P98" s="12" t="str">
        <f>IF(J98="","",IF(J98&lt;&gt;"정상","비용 설정 필요",L98+O98+H98))</f>
      </c>
      <c r="Q98" s="13" t="str">
        <f>IF(J98="","",IF(J98&lt;&gt;"정상","비용 설정 필요",G98-P98))</f>
      </c>
      <c r="R98" s="14" t="str">
        <f>IF(J98="","",IF(J98&lt;&gt;"정상","비용 설정 필요",IFERROR(Q98/G98,0)))</f>
      </c>
    </row>
    <row r="99">
      <c r="B99" s="7"/>
      <c r="C99" s="5"/>
      <c r="D99" s="8"/>
      <c r="E99" s="8"/>
      <c r="F99" s="12" t="str">
        <f>IF(AND(B99="",C99=""),"",SUM(D99:E99))</f>
      </c>
      <c r="G99" s="8"/>
      <c r="H99" s="8"/>
      <c r="I99" s="6"/>
      <c r="J99" s="10" t="str">
        <f>IF(AND(B99="",C99=""),"",IF(OR(B99="",C99=""),"비용 설정 필요",IF(COUNTIFS('3_채널별_비용설정'!$C$6:$C$55,C99,'3_채널별_비용설정'!$D$6:$D$55,"&lt;="&amp;B99,'3_채널별_비용설정'!$O$6:$O$55,"&gt;="&amp;B99)=0,"비용 설정 필요",IF(COUNTIFS('3_채널별_비용설정'!$C$6:$C$55,C99,'3_채널별_비용설정'!$D$6:$D$55,"&lt;="&amp;B99,'3_채널별_비용설정'!$O$6:$O$55,"&gt;="&amp;B99)&gt;1,"기간 중복 확인","정상"))))</f>
      </c>
      <c r="K99" s="15" t="str">
        <f>IF(J99="","",IF(J99&lt;&gt;"정상","비용 설정 필요",SUMIFS('3_채널별_비용설정'!$F$6:$F$55,'3_채널별_비용설정'!$C$6:$C$55,C99,'3_채널별_비용설정'!$D$6:$D$55,"&lt;="&amp;B99,'3_채널별_비용설정'!$O$6:$O$55,"&gt;="&amp;B99)))</f>
      </c>
      <c r="L99" s="12" t="str">
        <f>IF(J99="","",IF(J99&lt;&gt;"정상","비용 설정 필요",ROUND(G99*K99,0)))</f>
      </c>
      <c r="M99" s="12" t="str">
        <f>IF(J99="","",IF(J99&lt;&gt;"정상","비용 설정 필요",SUMIFS('3_채널별_비용설정'!$L$6:$L$55,'3_채널별_비용설정'!$C$6:$C$55,C99,'3_채널별_비용설정'!$D$6:$D$55,"&lt;="&amp;B99,'3_채널별_비용설정'!$O$6:$O$55,"&gt;="&amp;B99)))</f>
      </c>
      <c r="N99" s="12" t="str">
        <f>IF(J99="","",IF(J99&lt;&gt;"정상","비용 설정 필요",SUMIFS('3_채널별_비용설정'!$M$6:$M$55,'3_채널별_비용설정'!$C$6:$C$55,C99,'3_채널별_비용설정'!$D$6:$D$55,"&lt;="&amp;B99,'3_채널별_비용설정'!$O$6:$O$55,"&gt;="&amp;B99)))</f>
      </c>
      <c r="O99" s="12" t="str">
        <f>IF(J99="","",IF(J99&lt;&gt;"정상","비용 설정 필요",(D99*M99)+(E99*N99)))</f>
      </c>
      <c r="P99" s="12" t="str">
        <f>IF(J99="","",IF(J99&lt;&gt;"정상","비용 설정 필요",L99+O99+H99))</f>
      </c>
      <c r="Q99" s="13" t="str">
        <f>IF(J99="","",IF(J99&lt;&gt;"정상","비용 설정 필요",G99-P99))</f>
      </c>
      <c r="R99" s="14" t="str">
        <f>IF(J99="","",IF(J99&lt;&gt;"정상","비용 설정 필요",IFERROR(Q99/G99,0)))</f>
      </c>
    </row>
    <row r="100">
      <c r="B100" s="7"/>
      <c r="C100" s="5"/>
      <c r="D100" s="8"/>
      <c r="E100" s="8"/>
      <c r="F100" s="12" t="str">
        <f>IF(AND(B100="",C100=""),"",SUM(D100:E100))</f>
      </c>
      <c r="G100" s="8"/>
      <c r="H100" s="8"/>
      <c r="I100" s="6"/>
      <c r="J100" s="10" t="str">
        <f>IF(AND(B100="",C100=""),"",IF(OR(B100="",C100=""),"비용 설정 필요",IF(COUNTIFS('3_채널별_비용설정'!$C$6:$C$55,C100,'3_채널별_비용설정'!$D$6:$D$55,"&lt;="&amp;B100,'3_채널별_비용설정'!$O$6:$O$55,"&gt;="&amp;B100)=0,"비용 설정 필요",IF(COUNTIFS('3_채널별_비용설정'!$C$6:$C$55,C100,'3_채널별_비용설정'!$D$6:$D$55,"&lt;="&amp;B100,'3_채널별_비용설정'!$O$6:$O$55,"&gt;="&amp;B100)&gt;1,"기간 중복 확인","정상"))))</f>
      </c>
      <c r="K100" s="15" t="str">
        <f>IF(J100="","",IF(J100&lt;&gt;"정상","비용 설정 필요",SUMIFS('3_채널별_비용설정'!$F$6:$F$55,'3_채널별_비용설정'!$C$6:$C$55,C100,'3_채널별_비용설정'!$D$6:$D$55,"&lt;="&amp;B100,'3_채널별_비용설정'!$O$6:$O$55,"&gt;="&amp;B100)))</f>
      </c>
      <c r="L100" s="12" t="str">
        <f>IF(J100="","",IF(J100&lt;&gt;"정상","비용 설정 필요",ROUND(G100*K100,0)))</f>
      </c>
      <c r="M100" s="12" t="str">
        <f>IF(J100="","",IF(J100&lt;&gt;"정상","비용 설정 필요",SUMIFS('3_채널별_비용설정'!$L$6:$L$55,'3_채널별_비용설정'!$C$6:$C$55,C100,'3_채널별_비용설정'!$D$6:$D$55,"&lt;="&amp;B100,'3_채널별_비용설정'!$O$6:$O$55,"&gt;="&amp;B100)))</f>
      </c>
      <c r="N100" s="12" t="str">
        <f>IF(J100="","",IF(J100&lt;&gt;"정상","비용 설정 필요",SUMIFS('3_채널별_비용설정'!$M$6:$M$55,'3_채널별_비용설정'!$C$6:$C$55,C100,'3_채널별_비용설정'!$D$6:$D$55,"&lt;="&amp;B100,'3_채널별_비용설정'!$O$6:$O$55,"&gt;="&amp;B100)))</f>
      </c>
      <c r="O100" s="12" t="str">
        <f>IF(J100="","",IF(J100&lt;&gt;"정상","비용 설정 필요",(D100*M100)+(E100*N100)))</f>
      </c>
      <c r="P100" s="12" t="str">
        <f>IF(J100="","",IF(J100&lt;&gt;"정상","비용 설정 필요",L100+O100+H100))</f>
      </c>
      <c r="Q100" s="13" t="str">
        <f>IF(J100="","",IF(J100&lt;&gt;"정상","비용 설정 필요",G100-P100))</f>
      </c>
      <c r="R100" s="14" t="str">
        <f>IF(J100="","",IF(J100&lt;&gt;"정상","비용 설정 필요",IFERROR(Q100/G100,0)))</f>
      </c>
    </row>
    <row r="101">
      <c r="B101" s="7"/>
      <c r="C101" s="5"/>
      <c r="D101" s="8"/>
      <c r="E101" s="8"/>
      <c r="F101" s="12" t="str">
        <f>IF(AND(B101="",C101=""),"",SUM(D101:E101))</f>
      </c>
      <c r="G101" s="8"/>
      <c r="H101" s="8"/>
      <c r="I101" s="6"/>
      <c r="J101" s="10" t="str">
        <f>IF(AND(B101="",C101=""),"",IF(OR(B101="",C101=""),"비용 설정 필요",IF(COUNTIFS('3_채널별_비용설정'!$C$6:$C$55,C101,'3_채널별_비용설정'!$D$6:$D$55,"&lt;="&amp;B101,'3_채널별_비용설정'!$O$6:$O$55,"&gt;="&amp;B101)=0,"비용 설정 필요",IF(COUNTIFS('3_채널별_비용설정'!$C$6:$C$55,C101,'3_채널별_비용설정'!$D$6:$D$55,"&lt;="&amp;B101,'3_채널별_비용설정'!$O$6:$O$55,"&gt;="&amp;B101)&gt;1,"기간 중복 확인","정상"))))</f>
      </c>
      <c r="K101" s="15" t="str">
        <f>IF(J101="","",IF(J101&lt;&gt;"정상","비용 설정 필요",SUMIFS('3_채널별_비용설정'!$F$6:$F$55,'3_채널별_비용설정'!$C$6:$C$55,C101,'3_채널별_비용설정'!$D$6:$D$55,"&lt;="&amp;B101,'3_채널별_비용설정'!$O$6:$O$55,"&gt;="&amp;B101)))</f>
      </c>
      <c r="L101" s="12" t="str">
        <f>IF(J101="","",IF(J101&lt;&gt;"정상","비용 설정 필요",ROUND(G101*K101,0)))</f>
      </c>
      <c r="M101" s="12" t="str">
        <f>IF(J101="","",IF(J101&lt;&gt;"정상","비용 설정 필요",SUMIFS('3_채널별_비용설정'!$L$6:$L$55,'3_채널별_비용설정'!$C$6:$C$55,C101,'3_채널별_비용설정'!$D$6:$D$55,"&lt;="&amp;B101,'3_채널별_비용설정'!$O$6:$O$55,"&gt;="&amp;B101)))</f>
      </c>
      <c r="N101" s="12" t="str">
        <f>IF(J101="","",IF(J101&lt;&gt;"정상","비용 설정 필요",SUMIFS('3_채널별_비용설정'!$M$6:$M$55,'3_채널별_비용설정'!$C$6:$C$55,C101,'3_채널별_비용설정'!$D$6:$D$55,"&lt;="&amp;B101,'3_채널별_비용설정'!$O$6:$O$55,"&gt;="&amp;B101)))</f>
      </c>
      <c r="O101" s="12" t="str">
        <f>IF(J101="","",IF(J101&lt;&gt;"정상","비용 설정 필요",(D101*M101)+(E101*N101)))</f>
      </c>
      <c r="P101" s="12" t="str">
        <f>IF(J101="","",IF(J101&lt;&gt;"정상","비용 설정 필요",L101+O101+H101))</f>
      </c>
      <c r="Q101" s="13" t="str">
        <f>IF(J101="","",IF(J101&lt;&gt;"정상","비용 설정 필요",G101-P101))</f>
      </c>
      <c r="R101" s="14" t="str">
        <f>IF(J101="","",IF(J101&lt;&gt;"정상","비용 설정 필요",IFERROR(Q101/G101,0)))</f>
      </c>
    </row>
    <row r="102">
      <c r="B102" s="7"/>
      <c r="C102" s="5"/>
      <c r="D102" s="8"/>
      <c r="E102" s="8"/>
      <c r="F102" s="12" t="str">
        <f>IF(AND(B102="",C102=""),"",SUM(D102:E102))</f>
      </c>
      <c r="G102" s="8"/>
      <c r="H102" s="8"/>
      <c r="I102" s="6"/>
      <c r="J102" s="10" t="str">
        <f>IF(AND(B102="",C102=""),"",IF(OR(B102="",C102=""),"비용 설정 필요",IF(COUNTIFS('3_채널별_비용설정'!$C$6:$C$55,C102,'3_채널별_비용설정'!$D$6:$D$55,"&lt;="&amp;B102,'3_채널별_비용설정'!$O$6:$O$55,"&gt;="&amp;B102)=0,"비용 설정 필요",IF(COUNTIFS('3_채널별_비용설정'!$C$6:$C$55,C102,'3_채널별_비용설정'!$D$6:$D$55,"&lt;="&amp;B102,'3_채널별_비용설정'!$O$6:$O$55,"&gt;="&amp;B102)&gt;1,"기간 중복 확인","정상"))))</f>
      </c>
      <c r="K102" s="15" t="str">
        <f>IF(J102="","",IF(J102&lt;&gt;"정상","비용 설정 필요",SUMIFS('3_채널별_비용설정'!$F$6:$F$55,'3_채널별_비용설정'!$C$6:$C$55,C102,'3_채널별_비용설정'!$D$6:$D$55,"&lt;="&amp;B102,'3_채널별_비용설정'!$O$6:$O$55,"&gt;="&amp;B102)))</f>
      </c>
      <c r="L102" s="12" t="str">
        <f>IF(J102="","",IF(J102&lt;&gt;"정상","비용 설정 필요",ROUND(G102*K102,0)))</f>
      </c>
      <c r="M102" s="12" t="str">
        <f>IF(J102="","",IF(J102&lt;&gt;"정상","비용 설정 필요",SUMIFS('3_채널별_비용설정'!$L$6:$L$55,'3_채널별_비용설정'!$C$6:$C$55,C102,'3_채널별_비용설정'!$D$6:$D$55,"&lt;="&amp;B102,'3_채널별_비용설정'!$O$6:$O$55,"&gt;="&amp;B102)))</f>
      </c>
      <c r="N102" s="12" t="str">
        <f>IF(J102="","",IF(J102&lt;&gt;"정상","비용 설정 필요",SUMIFS('3_채널별_비용설정'!$M$6:$M$55,'3_채널별_비용설정'!$C$6:$C$55,C102,'3_채널별_비용설정'!$D$6:$D$55,"&lt;="&amp;B102,'3_채널별_비용설정'!$O$6:$O$55,"&gt;="&amp;B102)))</f>
      </c>
      <c r="O102" s="12" t="str">
        <f>IF(J102="","",IF(J102&lt;&gt;"정상","비용 설정 필요",(D102*M102)+(E102*N102)))</f>
      </c>
      <c r="P102" s="12" t="str">
        <f>IF(J102="","",IF(J102&lt;&gt;"정상","비용 설정 필요",L102+O102+H102))</f>
      </c>
      <c r="Q102" s="13" t="str">
        <f>IF(J102="","",IF(J102&lt;&gt;"정상","비용 설정 필요",G102-P102))</f>
      </c>
      <c r="R102" s="14" t="str">
        <f>IF(J102="","",IF(J102&lt;&gt;"정상","비용 설정 필요",IFERROR(Q102/G102,0)))</f>
      </c>
    </row>
    <row r="103">
      <c r="B103" s="7"/>
      <c r="C103" s="5"/>
      <c r="D103" s="8"/>
      <c r="E103" s="8"/>
      <c r="F103" s="12" t="str">
        <f>IF(AND(B103="",C103=""),"",SUM(D103:E103))</f>
      </c>
      <c r="G103" s="8"/>
      <c r="H103" s="8"/>
      <c r="I103" s="6"/>
      <c r="J103" s="10" t="str">
        <f>IF(AND(B103="",C103=""),"",IF(OR(B103="",C103=""),"비용 설정 필요",IF(COUNTIFS('3_채널별_비용설정'!$C$6:$C$55,C103,'3_채널별_비용설정'!$D$6:$D$55,"&lt;="&amp;B103,'3_채널별_비용설정'!$O$6:$O$55,"&gt;="&amp;B103)=0,"비용 설정 필요",IF(COUNTIFS('3_채널별_비용설정'!$C$6:$C$55,C103,'3_채널별_비용설정'!$D$6:$D$55,"&lt;="&amp;B103,'3_채널별_비용설정'!$O$6:$O$55,"&gt;="&amp;B103)&gt;1,"기간 중복 확인","정상"))))</f>
      </c>
      <c r="K103" s="15" t="str">
        <f>IF(J103="","",IF(J103&lt;&gt;"정상","비용 설정 필요",SUMIFS('3_채널별_비용설정'!$F$6:$F$55,'3_채널별_비용설정'!$C$6:$C$55,C103,'3_채널별_비용설정'!$D$6:$D$55,"&lt;="&amp;B103,'3_채널별_비용설정'!$O$6:$O$55,"&gt;="&amp;B103)))</f>
      </c>
      <c r="L103" s="12" t="str">
        <f>IF(J103="","",IF(J103&lt;&gt;"정상","비용 설정 필요",ROUND(G103*K103,0)))</f>
      </c>
      <c r="M103" s="12" t="str">
        <f>IF(J103="","",IF(J103&lt;&gt;"정상","비용 설정 필요",SUMIFS('3_채널별_비용설정'!$L$6:$L$55,'3_채널별_비용설정'!$C$6:$C$55,C103,'3_채널별_비용설정'!$D$6:$D$55,"&lt;="&amp;B103,'3_채널별_비용설정'!$O$6:$O$55,"&gt;="&amp;B103)))</f>
      </c>
      <c r="N103" s="12" t="str">
        <f>IF(J103="","",IF(J103&lt;&gt;"정상","비용 설정 필요",SUMIFS('3_채널별_비용설정'!$M$6:$M$55,'3_채널별_비용설정'!$C$6:$C$55,C103,'3_채널별_비용설정'!$D$6:$D$55,"&lt;="&amp;B103,'3_채널별_비용설정'!$O$6:$O$55,"&gt;="&amp;B103)))</f>
      </c>
      <c r="O103" s="12" t="str">
        <f>IF(J103="","",IF(J103&lt;&gt;"정상","비용 설정 필요",(D103*M103)+(E103*N103)))</f>
      </c>
      <c r="P103" s="12" t="str">
        <f>IF(J103="","",IF(J103&lt;&gt;"정상","비용 설정 필요",L103+O103+H103))</f>
      </c>
      <c r="Q103" s="13" t="str">
        <f>IF(J103="","",IF(J103&lt;&gt;"정상","비용 설정 필요",G103-P103))</f>
      </c>
      <c r="R103" s="14" t="str">
        <f>IF(J103="","",IF(J103&lt;&gt;"정상","비용 설정 필요",IFERROR(Q103/G103,0)))</f>
      </c>
    </row>
    <row r="104">
      <c r="B104" s="7"/>
      <c r="C104" s="5"/>
      <c r="D104" s="8"/>
      <c r="E104" s="8"/>
      <c r="F104" s="12" t="str">
        <f>IF(AND(B104="",C104=""),"",SUM(D104:E104))</f>
      </c>
      <c r="G104" s="8"/>
      <c r="H104" s="8"/>
      <c r="I104" s="6"/>
      <c r="J104" s="10" t="str">
        <f>IF(AND(B104="",C104=""),"",IF(OR(B104="",C104=""),"비용 설정 필요",IF(COUNTIFS('3_채널별_비용설정'!$C$6:$C$55,C104,'3_채널별_비용설정'!$D$6:$D$55,"&lt;="&amp;B104,'3_채널별_비용설정'!$O$6:$O$55,"&gt;="&amp;B104)=0,"비용 설정 필요",IF(COUNTIFS('3_채널별_비용설정'!$C$6:$C$55,C104,'3_채널별_비용설정'!$D$6:$D$55,"&lt;="&amp;B104,'3_채널별_비용설정'!$O$6:$O$55,"&gt;="&amp;B104)&gt;1,"기간 중복 확인","정상"))))</f>
      </c>
      <c r="K104" s="15" t="str">
        <f>IF(J104="","",IF(J104&lt;&gt;"정상","비용 설정 필요",SUMIFS('3_채널별_비용설정'!$F$6:$F$55,'3_채널별_비용설정'!$C$6:$C$55,C104,'3_채널별_비용설정'!$D$6:$D$55,"&lt;="&amp;B104,'3_채널별_비용설정'!$O$6:$O$55,"&gt;="&amp;B104)))</f>
      </c>
      <c r="L104" s="12" t="str">
        <f>IF(J104="","",IF(J104&lt;&gt;"정상","비용 설정 필요",ROUND(G104*K104,0)))</f>
      </c>
      <c r="M104" s="12" t="str">
        <f>IF(J104="","",IF(J104&lt;&gt;"정상","비용 설정 필요",SUMIFS('3_채널별_비용설정'!$L$6:$L$55,'3_채널별_비용설정'!$C$6:$C$55,C104,'3_채널별_비용설정'!$D$6:$D$55,"&lt;="&amp;B104,'3_채널별_비용설정'!$O$6:$O$55,"&gt;="&amp;B104)))</f>
      </c>
      <c r="N104" s="12" t="str">
        <f>IF(J104="","",IF(J104&lt;&gt;"정상","비용 설정 필요",SUMIFS('3_채널별_비용설정'!$M$6:$M$55,'3_채널별_비용설정'!$C$6:$C$55,C104,'3_채널별_비용설정'!$D$6:$D$55,"&lt;="&amp;B104,'3_채널별_비용설정'!$O$6:$O$55,"&gt;="&amp;B104)))</f>
      </c>
      <c r="O104" s="12" t="str">
        <f>IF(J104="","",IF(J104&lt;&gt;"정상","비용 설정 필요",(D104*M104)+(E104*N104)))</f>
      </c>
      <c r="P104" s="12" t="str">
        <f>IF(J104="","",IF(J104&lt;&gt;"정상","비용 설정 필요",L104+O104+H104))</f>
      </c>
      <c r="Q104" s="13" t="str">
        <f>IF(J104="","",IF(J104&lt;&gt;"정상","비용 설정 필요",G104-P104))</f>
      </c>
      <c r="R104" s="14" t="str">
        <f>IF(J104="","",IF(J104&lt;&gt;"정상","비용 설정 필요",IFERROR(Q104/G104,0)))</f>
      </c>
    </row>
    <row r="105">
      <c r="B105" s="7"/>
      <c r="C105" s="5"/>
      <c r="D105" s="8"/>
      <c r="E105" s="8"/>
      <c r="F105" s="12" t="str">
        <f>IF(AND(B105="",C105=""),"",SUM(D105:E105))</f>
      </c>
      <c r="G105" s="8"/>
      <c r="H105" s="8"/>
      <c r="I105" s="6"/>
      <c r="J105" s="10" t="str">
        <f>IF(AND(B105="",C105=""),"",IF(OR(B105="",C105=""),"비용 설정 필요",IF(COUNTIFS('3_채널별_비용설정'!$C$6:$C$55,C105,'3_채널별_비용설정'!$D$6:$D$55,"&lt;="&amp;B105,'3_채널별_비용설정'!$O$6:$O$55,"&gt;="&amp;B105)=0,"비용 설정 필요",IF(COUNTIFS('3_채널별_비용설정'!$C$6:$C$55,C105,'3_채널별_비용설정'!$D$6:$D$55,"&lt;="&amp;B105,'3_채널별_비용설정'!$O$6:$O$55,"&gt;="&amp;B105)&gt;1,"기간 중복 확인","정상"))))</f>
      </c>
      <c r="K105" s="15" t="str">
        <f>IF(J105="","",IF(J105&lt;&gt;"정상","비용 설정 필요",SUMIFS('3_채널별_비용설정'!$F$6:$F$55,'3_채널별_비용설정'!$C$6:$C$55,C105,'3_채널별_비용설정'!$D$6:$D$55,"&lt;="&amp;B105,'3_채널별_비용설정'!$O$6:$O$55,"&gt;="&amp;B105)))</f>
      </c>
      <c r="L105" s="12" t="str">
        <f>IF(J105="","",IF(J105&lt;&gt;"정상","비용 설정 필요",ROUND(G105*K105,0)))</f>
      </c>
      <c r="M105" s="12" t="str">
        <f>IF(J105="","",IF(J105&lt;&gt;"정상","비용 설정 필요",SUMIFS('3_채널별_비용설정'!$L$6:$L$55,'3_채널별_비용설정'!$C$6:$C$55,C105,'3_채널별_비용설정'!$D$6:$D$55,"&lt;="&amp;B105,'3_채널별_비용설정'!$O$6:$O$55,"&gt;="&amp;B105)))</f>
      </c>
      <c r="N105" s="12" t="str">
        <f>IF(J105="","",IF(J105&lt;&gt;"정상","비용 설정 필요",SUMIFS('3_채널별_비용설정'!$M$6:$M$55,'3_채널별_비용설정'!$C$6:$C$55,C105,'3_채널별_비용설정'!$D$6:$D$55,"&lt;="&amp;B105,'3_채널별_비용설정'!$O$6:$O$55,"&gt;="&amp;B105)))</f>
      </c>
      <c r="O105" s="12" t="str">
        <f>IF(J105="","",IF(J105&lt;&gt;"정상","비용 설정 필요",(D105*M105)+(E105*N105)))</f>
      </c>
      <c r="P105" s="12" t="str">
        <f>IF(J105="","",IF(J105&lt;&gt;"정상","비용 설정 필요",L105+O105+H105))</f>
      </c>
      <c r="Q105" s="13" t="str">
        <f>IF(J105="","",IF(J105&lt;&gt;"정상","비용 설정 필요",G105-P105))</f>
      </c>
      <c r="R105" s="14" t="str">
        <f>IF(J105="","",IF(J105&lt;&gt;"정상","비용 설정 필요",IFERROR(Q105/G105,0)))</f>
      </c>
    </row>
    <row r="106">
      <c r="B106" s="7"/>
      <c r="C106" s="5"/>
      <c r="D106" s="8"/>
      <c r="E106" s="8"/>
      <c r="F106" s="12" t="str">
        <f>IF(AND(B106="",C106=""),"",SUM(D106:E106))</f>
      </c>
      <c r="G106" s="8"/>
      <c r="H106" s="8"/>
      <c r="I106" s="6"/>
      <c r="J106" s="10" t="str">
        <f>IF(AND(B106="",C106=""),"",IF(OR(B106="",C106=""),"비용 설정 필요",IF(COUNTIFS('3_채널별_비용설정'!$C$6:$C$55,C106,'3_채널별_비용설정'!$D$6:$D$55,"&lt;="&amp;B106,'3_채널별_비용설정'!$O$6:$O$55,"&gt;="&amp;B106)=0,"비용 설정 필요",IF(COUNTIFS('3_채널별_비용설정'!$C$6:$C$55,C106,'3_채널별_비용설정'!$D$6:$D$55,"&lt;="&amp;B106,'3_채널별_비용설정'!$O$6:$O$55,"&gt;="&amp;B106)&gt;1,"기간 중복 확인","정상"))))</f>
      </c>
      <c r="K106" s="15" t="str">
        <f>IF(J106="","",IF(J106&lt;&gt;"정상","비용 설정 필요",SUMIFS('3_채널별_비용설정'!$F$6:$F$55,'3_채널별_비용설정'!$C$6:$C$55,C106,'3_채널별_비용설정'!$D$6:$D$55,"&lt;="&amp;B106,'3_채널별_비용설정'!$O$6:$O$55,"&gt;="&amp;B106)))</f>
      </c>
      <c r="L106" s="12" t="str">
        <f>IF(J106="","",IF(J106&lt;&gt;"정상","비용 설정 필요",ROUND(G106*K106,0)))</f>
      </c>
      <c r="M106" s="12" t="str">
        <f>IF(J106="","",IF(J106&lt;&gt;"정상","비용 설정 필요",SUMIFS('3_채널별_비용설정'!$L$6:$L$55,'3_채널별_비용설정'!$C$6:$C$55,C106,'3_채널별_비용설정'!$D$6:$D$55,"&lt;="&amp;B106,'3_채널별_비용설정'!$O$6:$O$55,"&gt;="&amp;B106)))</f>
      </c>
      <c r="N106" s="12" t="str">
        <f>IF(J106="","",IF(J106&lt;&gt;"정상","비용 설정 필요",SUMIFS('3_채널별_비용설정'!$M$6:$M$55,'3_채널별_비용설정'!$C$6:$C$55,C106,'3_채널별_비용설정'!$D$6:$D$55,"&lt;="&amp;B106,'3_채널별_비용설정'!$O$6:$O$55,"&gt;="&amp;B106)))</f>
      </c>
      <c r="O106" s="12" t="str">
        <f>IF(J106="","",IF(J106&lt;&gt;"정상","비용 설정 필요",(D106*M106)+(E106*N106)))</f>
      </c>
      <c r="P106" s="12" t="str">
        <f>IF(J106="","",IF(J106&lt;&gt;"정상","비용 설정 필요",L106+O106+H106))</f>
      </c>
      <c r="Q106" s="13" t="str">
        <f>IF(J106="","",IF(J106&lt;&gt;"정상","비용 설정 필요",G106-P106))</f>
      </c>
      <c r="R106" s="14" t="str">
        <f>IF(J106="","",IF(J106&lt;&gt;"정상","비용 설정 필요",IFERROR(Q106/G106,0)))</f>
      </c>
    </row>
    <row r="107">
      <c r="B107" s="7"/>
      <c r="C107" s="5"/>
      <c r="D107" s="8"/>
      <c r="E107" s="8"/>
      <c r="F107" s="12" t="str">
        <f>IF(AND(B107="",C107=""),"",SUM(D107:E107))</f>
      </c>
      <c r="G107" s="8"/>
      <c r="H107" s="8"/>
      <c r="I107" s="6"/>
      <c r="J107" s="10" t="str">
        <f>IF(AND(B107="",C107=""),"",IF(OR(B107="",C107=""),"비용 설정 필요",IF(COUNTIFS('3_채널별_비용설정'!$C$6:$C$55,C107,'3_채널별_비용설정'!$D$6:$D$55,"&lt;="&amp;B107,'3_채널별_비용설정'!$O$6:$O$55,"&gt;="&amp;B107)=0,"비용 설정 필요",IF(COUNTIFS('3_채널별_비용설정'!$C$6:$C$55,C107,'3_채널별_비용설정'!$D$6:$D$55,"&lt;="&amp;B107,'3_채널별_비용설정'!$O$6:$O$55,"&gt;="&amp;B107)&gt;1,"기간 중복 확인","정상"))))</f>
      </c>
      <c r="K107" s="15" t="str">
        <f>IF(J107="","",IF(J107&lt;&gt;"정상","비용 설정 필요",SUMIFS('3_채널별_비용설정'!$F$6:$F$55,'3_채널별_비용설정'!$C$6:$C$55,C107,'3_채널별_비용설정'!$D$6:$D$55,"&lt;="&amp;B107,'3_채널별_비용설정'!$O$6:$O$55,"&gt;="&amp;B107)))</f>
      </c>
      <c r="L107" s="12" t="str">
        <f>IF(J107="","",IF(J107&lt;&gt;"정상","비용 설정 필요",ROUND(G107*K107,0)))</f>
      </c>
      <c r="M107" s="12" t="str">
        <f>IF(J107="","",IF(J107&lt;&gt;"정상","비용 설정 필요",SUMIFS('3_채널별_비용설정'!$L$6:$L$55,'3_채널별_비용설정'!$C$6:$C$55,C107,'3_채널별_비용설정'!$D$6:$D$55,"&lt;="&amp;B107,'3_채널별_비용설정'!$O$6:$O$55,"&gt;="&amp;B107)))</f>
      </c>
      <c r="N107" s="12" t="str">
        <f>IF(J107="","",IF(J107&lt;&gt;"정상","비용 설정 필요",SUMIFS('3_채널별_비용설정'!$M$6:$M$55,'3_채널별_비용설정'!$C$6:$C$55,C107,'3_채널별_비용설정'!$D$6:$D$55,"&lt;="&amp;B107,'3_채널별_비용설정'!$O$6:$O$55,"&gt;="&amp;B107)))</f>
      </c>
      <c r="O107" s="12" t="str">
        <f>IF(J107="","",IF(J107&lt;&gt;"정상","비용 설정 필요",(D107*M107)+(E107*N107)))</f>
      </c>
      <c r="P107" s="12" t="str">
        <f>IF(J107="","",IF(J107&lt;&gt;"정상","비용 설정 필요",L107+O107+H107))</f>
      </c>
      <c r="Q107" s="13" t="str">
        <f>IF(J107="","",IF(J107&lt;&gt;"정상","비용 설정 필요",G107-P107))</f>
      </c>
      <c r="R107" s="14" t="str">
        <f>IF(J107="","",IF(J107&lt;&gt;"정상","비용 설정 필요",IFERROR(Q107/G107,0)))</f>
      </c>
    </row>
    <row r="108">
      <c r="B108" s="7"/>
      <c r="C108" s="5"/>
      <c r="D108" s="8"/>
      <c r="E108" s="8"/>
      <c r="F108" s="12" t="str">
        <f>IF(AND(B108="",C108=""),"",SUM(D108:E108))</f>
      </c>
      <c r="G108" s="8"/>
      <c r="H108" s="8"/>
      <c r="I108" s="6"/>
      <c r="J108" s="10" t="str">
        <f>IF(AND(B108="",C108=""),"",IF(OR(B108="",C108=""),"비용 설정 필요",IF(COUNTIFS('3_채널별_비용설정'!$C$6:$C$55,C108,'3_채널별_비용설정'!$D$6:$D$55,"&lt;="&amp;B108,'3_채널별_비용설정'!$O$6:$O$55,"&gt;="&amp;B108)=0,"비용 설정 필요",IF(COUNTIFS('3_채널별_비용설정'!$C$6:$C$55,C108,'3_채널별_비용설정'!$D$6:$D$55,"&lt;="&amp;B108,'3_채널별_비용설정'!$O$6:$O$55,"&gt;="&amp;B108)&gt;1,"기간 중복 확인","정상"))))</f>
      </c>
      <c r="K108" s="15" t="str">
        <f>IF(J108="","",IF(J108&lt;&gt;"정상","비용 설정 필요",SUMIFS('3_채널별_비용설정'!$F$6:$F$55,'3_채널별_비용설정'!$C$6:$C$55,C108,'3_채널별_비용설정'!$D$6:$D$55,"&lt;="&amp;B108,'3_채널별_비용설정'!$O$6:$O$55,"&gt;="&amp;B108)))</f>
      </c>
      <c r="L108" s="12" t="str">
        <f>IF(J108="","",IF(J108&lt;&gt;"정상","비용 설정 필요",ROUND(G108*K108,0)))</f>
      </c>
      <c r="M108" s="12" t="str">
        <f>IF(J108="","",IF(J108&lt;&gt;"정상","비용 설정 필요",SUMIFS('3_채널별_비용설정'!$L$6:$L$55,'3_채널별_비용설정'!$C$6:$C$55,C108,'3_채널별_비용설정'!$D$6:$D$55,"&lt;="&amp;B108,'3_채널별_비용설정'!$O$6:$O$55,"&gt;="&amp;B108)))</f>
      </c>
      <c r="N108" s="12" t="str">
        <f>IF(J108="","",IF(J108&lt;&gt;"정상","비용 설정 필요",SUMIFS('3_채널별_비용설정'!$M$6:$M$55,'3_채널별_비용설정'!$C$6:$C$55,C108,'3_채널별_비용설정'!$D$6:$D$55,"&lt;="&amp;B108,'3_채널별_비용설정'!$O$6:$O$55,"&gt;="&amp;B108)))</f>
      </c>
      <c r="O108" s="12" t="str">
        <f>IF(J108="","",IF(J108&lt;&gt;"정상","비용 설정 필요",(D108*M108)+(E108*N108)))</f>
      </c>
      <c r="P108" s="12" t="str">
        <f>IF(J108="","",IF(J108&lt;&gt;"정상","비용 설정 필요",L108+O108+H108))</f>
      </c>
      <c r="Q108" s="13" t="str">
        <f>IF(J108="","",IF(J108&lt;&gt;"정상","비용 설정 필요",G108-P108))</f>
      </c>
      <c r="R108" s="14" t="str">
        <f>IF(J108="","",IF(J108&lt;&gt;"정상","비용 설정 필요",IFERROR(Q108/G108,0)))</f>
      </c>
    </row>
    <row r="109">
      <c r="B109" s="7"/>
      <c r="C109" s="5"/>
      <c r="D109" s="8"/>
      <c r="E109" s="8"/>
      <c r="F109" s="12" t="str">
        <f>IF(AND(B109="",C109=""),"",SUM(D109:E109))</f>
      </c>
      <c r="G109" s="8"/>
      <c r="H109" s="8"/>
      <c r="I109" s="6"/>
      <c r="J109" s="10" t="str">
        <f>IF(AND(B109="",C109=""),"",IF(OR(B109="",C109=""),"비용 설정 필요",IF(COUNTIFS('3_채널별_비용설정'!$C$6:$C$55,C109,'3_채널별_비용설정'!$D$6:$D$55,"&lt;="&amp;B109,'3_채널별_비용설정'!$O$6:$O$55,"&gt;="&amp;B109)=0,"비용 설정 필요",IF(COUNTIFS('3_채널별_비용설정'!$C$6:$C$55,C109,'3_채널별_비용설정'!$D$6:$D$55,"&lt;="&amp;B109,'3_채널별_비용설정'!$O$6:$O$55,"&gt;="&amp;B109)&gt;1,"기간 중복 확인","정상"))))</f>
      </c>
      <c r="K109" s="15" t="str">
        <f>IF(J109="","",IF(J109&lt;&gt;"정상","비용 설정 필요",SUMIFS('3_채널별_비용설정'!$F$6:$F$55,'3_채널별_비용설정'!$C$6:$C$55,C109,'3_채널별_비용설정'!$D$6:$D$55,"&lt;="&amp;B109,'3_채널별_비용설정'!$O$6:$O$55,"&gt;="&amp;B109)))</f>
      </c>
      <c r="L109" s="12" t="str">
        <f>IF(J109="","",IF(J109&lt;&gt;"정상","비용 설정 필요",ROUND(G109*K109,0)))</f>
      </c>
      <c r="M109" s="12" t="str">
        <f>IF(J109="","",IF(J109&lt;&gt;"정상","비용 설정 필요",SUMIFS('3_채널별_비용설정'!$L$6:$L$55,'3_채널별_비용설정'!$C$6:$C$55,C109,'3_채널별_비용설정'!$D$6:$D$55,"&lt;="&amp;B109,'3_채널별_비용설정'!$O$6:$O$55,"&gt;="&amp;B109)))</f>
      </c>
      <c r="N109" s="12" t="str">
        <f>IF(J109="","",IF(J109&lt;&gt;"정상","비용 설정 필요",SUMIFS('3_채널별_비용설정'!$M$6:$M$55,'3_채널별_비용설정'!$C$6:$C$55,C109,'3_채널별_비용설정'!$D$6:$D$55,"&lt;="&amp;B109,'3_채널별_비용설정'!$O$6:$O$55,"&gt;="&amp;B109)))</f>
      </c>
      <c r="O109" s="12" t="str">
        <f>IF(J109="","",IF(J109&lt;&gt;"정상","비용 설정 필요",(D109*M109)+(E109*N109)))</f>
      </c>
      <c r="P109" s="12" t="str">
        <f>IF(J109="","",IF(J109&lt;&gt;"정상","비용 설정 필요",L109+O109+H109))</f>
      </c>
      <c r="Q109" s="13" t="str">
        <f>IF(J109="","",IF(J109&lt;&gt;"정상","비용 설정 필요",G109-P109))</f>
      </c>
      <c r="R109" s="14" t="str">
        <f>IF(J109="","",IF(J109&lt;&gt;"정상","비용 설정 필요",IFERROR(Q109/G109,0)))</f>
      </c>
    </row>
    <row r="110">
      <c r="B110" s="7"/>
      <c r="C110" s="5"/>
      <c r="D110" s="8"/>
      <c r="E110" s="8"/>
      <c r="F110" s="12" t="str">
        <f>IF(AND(B110="",C110=""),"",SUM(D110:E110))</f>
      </c>
      <c r="G110" s="8"/>
      <c r="H110" s="8"/>
      <c r="I110" s="6"/>
      <c r="J110" s="10" t="str">
        <f>IF(AND(B110="",C110=""),"",IF(OR(B110="",C110=""),"비용 설정 필요",IF(COUNTIFS('3_채널별_비용설정'!$C$6:$C$55,C110,'3_채널별_비용설정'!$D$6:$D$55,"&lt;="&amp;B110,'3_채널별_비용설정'!$O$6:$O$55,"&gt;="&amp;B110)=0,"비용 설정 필요",IF(COUNTIFS('3_채널별_비용설정'!$C$6:$C$55,C110,'3_채널별_비용설정'!$D$6:$D$55,"&lt;="&amp;B110,'3_채널별_비용설정'!$O$6:$O$55,"&gt;="&amp;B110)&gt;1,"기간 중복 확인","정상"))))</f>
      </c>
      <c r="K110" s="15" t="str">
        <f>IF(J110="","",IF(J110&lt;&gt;"정상","비용 설정 필요",SUMIFS('3_채널별_비용설정'!$F$6:$F$55,'3_채널별_비용설정'!$C$6:$C$55,C110,'3_채널별_비용설정'!$D$6:$D$55,"&lt;="&amp;B110,'3_채널별_비용설정'!$O$6:$O$55,"&gt;="&amp;B110)))</f>
      </c>
      <c r="L110" s="12" t="str">
        <f>IF(J110="","",IF(J110&lt;&gt;"정상","비용 설정 필요",ROUND(G110*K110,0)))</f>
      </c>
      <c r="M110" s="12" t="str">
        <f>IF(J110="","",IF(J110&lt;&gt;"정상","비용 설정 필요",SUMIFS('3_채널별_비용설정'!$L$6:$L$55,'3_채널별_비용설정'!$C$6:$C$55,C110,'3_채널별_비용설정'!$D$6:$D$55,"&lt;="&amp;B110,'3_채널별_비용설정'!$O$6:$O$55,"&gt;="&amp;B110)))</f>
      </c>
      <c r="N110" s="12" t="str">
        <f>IF(J110="","",IF(J110&lt;&gt;"정상","비용 설정 필요",SUMIFS('3_채널별_비용설정'!$M$6:$M$55,'3_채널별_비용설정'!$C$6:$C$55,C110,'3_채널별_비용설정'!$D$6:$D$55,"&lt;="&amp;B110,'3_채널별_비용설정'!$O$6:$O$55,"&gt;="&amp;B110)))</f>
      </c>
      <c r="O110" s="12" t="str">
        <f>IF(J110="","",IF(J110&lt;&gt;"정상","비용 설정 필요",(D110*M110)+(E110*N110)))</f>
      </c>
      <c r="P110" s="12" t="str">
        <f>IF(J110="","",IF(J110&lt;&gt;"정상","비용 설정 필요",L110+O110+H110))</f>
      </c>
      <c r="Q110" s="13" t="str">
        <f>IF(J110="","",IF(J110&lt;&gt;"정상","비용 설정 필요",G110-P110))</f>
      </c>
      <c r="R110" s="14" t="str">
        <f>IF(J110="","",IF(J110&lt;&gt;"정상","비용 설정 필요",IFERROR(Q110/G110,0)))</f>
      </c>
    </row>
    <row r="111">
      <c r="B111" s="7"/>
      <c r="C111" s="5"/>
      <c r="D111" s="8"/>
      <c r="E111" s="8"/>
      <c r="F111" s="12" t="str">
        <f>IF(AND(B111="",C111=""),"",SUM(D111:E111))</f>
      </c>
      <c r="G111" s="8"/>
      <c r="H111" s="8"/>
      <c r="I111" s="6"/>
      <c r="J111" s="10" t="str">
        <f>IF(AND(B111="",C111=""),"",IF(OR(B111="",C111=""),"비용 설정 필요",IF(COUNTIFS('3_채널별_비용설정'!$C$6:$C$55,C111,'3_채널별_비용설정'!$D$6:$D$55,"&lt;="&amp;B111,'3_채널별_비용설정'!$O$6:$O$55,"&gt;="&amp;B111)=0,"비용 설정 필요",IF(COUNTIFS('3_채널별_비용설정'!$C$6:$C$55,C111,'3_채널별_비용설정'!$D$6:$D$55,"&lt;="&amp;B111,'3_채널별_비용설정'!$O$6:$O$55,"&gt;="&amp;B111)&gt;1,"기간 중복 확인","정상"))))</f>
      </c>
      <c r="K111" s="15" t="str">
        <f>IF(J111="","",IF(J111&lt;&gt;"정상","비용 설정 필요",SUMIFS('3_채널별_비용설정'!$F$6:$F$55,'3_채널별_비용설정'!$C$6:$C$55,C111,'3_채널별_비용설정'!$D$6:$D$55,"&lt;="&amp;B111,'3_채널별_비용설정'!$O$6:$O$55,"&gt;="&amp;B111)))</f>
      </c>
      <c r="L111" s="12" t="str">
        <f>IF(J111="","",IF(J111&lt;&gt;"정상","비용 설정 필요",ROUND(G111*K111,0)))</f>
      </c>
      <c r="M111" s="12" t="str">
        <f>IF(J111="","",IF(J111&lt;&gt;"정상","비용 설정 필요",SUMIFS('3_채널별_비용설정'!$L$6:$L$55,'3_채널별_비용설정'!$C$6:$C$55,C111,'3_채널별_비용설정'!$D$6:$D$55,"&lt;="&amp;B111,'3_채널별_비용설정'!$O$6:$O$55,"&gt;="&amp;B111)))</f>
      </c>
      <c r="N111" s="12" t="str">
        <f>IF(J111="","",IF(J111&lt;&gt;"정상","비용 설정 필요",SUMIFS('3_채널별_비용설정'!$M$6:$M$55,'3_채널별_비용설정'!$C$6:$C$55,C111,'3_채널별_비용설정'!$D$6:$D$55,"&lt;="&amp;B111,'3_채널별_비용설정'!$O$6:$O$55,"&gt;="&amp;B111)))</f>
      </c>
      <c r="O111" s="12" t="str">
        <f>IF(J111="","",IF(J111&lt;&gt;"정상","비용 설정 필요",(D111*M111)+(E111*N111)))</f>
      </c>
      <c r="P111" s="12" t="str">
        <f>IF(J111="","",IF(J111&lt;&gt;"정상","비용 설정 필요",L111+O111+H111))</f>
      </c>
      <c r="Q111" s="13" t="str">
        <f>IF(J111="","",IF(J111&lt;&gt;"정상","비용 설정 필요",G111-P111))</f>
      </c>
      <c r="R111" s="14" t="str">
        <f>IF(J111="","",IF(J111&lt;&gt;"정상","비용 설정 필요",IFERROR(Q111/G111,0)))</f>
      </c>
    </row>
    <row r="112">
      <c r="B112" s="7"/>
      <c r="C112" s="5"/>
      <c r="D112" s="8"/>
      <c r="E112" s="8"/>
      <c r="F112" s="12" t="str">
        <f>IF(AND(B112="",C112=""),"",SUM(D112:E112))</f>
      </c>
      <c r="G112" s="8"/>
      <c r="H112" s="8"/>
      <c r="I112" s="6"/>
      <c r="J112" s="10" t="str">
        <f>IF(AND(B112="",C112=""),"",IF(OR(B112="",C112=""),"비용 설정 필요",IF(COUNTIFS('3_채널별_비용설정'!$C$6:$C$55,C112,'3_채널별_비용설정'!$D$6:$D$55,"&lt;="&amp;B112,'3_채널별_비용설정'!$O$6:$O$55,"&gt;="&amp;B112)=0,"비용 설정 필요",IF(COUNTIFS('3_채널별_비용설정'!$C$6:$C$55,C112,'3_채널별_비용설정'!$D$6:$D$55,"&lt;="&amp;B112,'3_채널별_비용설정'!$O$6:$O$55,"&gt;="&amp;B112)&gt;1,"기간 중복 확인","정상"))))</f>
      </c>
      <c r="K112" s="15" t="str">
        <f>IF(J112="","",IF(J112&lt;&gt;"정상","비용 설정 필요",SUMIFS('3_채널별_비용설정'!$F$6:$F$55,'3_채널별_비용설정'!$C$6:$C$55,C112,'3_채널별_비용설정'!$D$6:$D$55,"&lt;="&amp;B112,'3_채널별_비용설정'!$O$6:$O$55,"&gt;="&amp;B112)))</f>
      </c>
      <c r="L112" s="12" t="str">
        <f>IF(J112="","",IF(J112&lt;&gt;"정상","비용 설정 필요",ROUND(G112*K112,0)))</f>
      </c>
      <c r="M112" s="12" t="str">
        <f>IF(J112="","",IF(J112&lt;&gt;"정상","비용 설정 필요",SUMIFS('3_채널별_비용설정'!$L$6:$L$55,'3_채널별_비용설정'!$C$6:$C$55,C112,'3_채널별_비용설정'!$D$6:$D$55,"&lt;="&amp;B112,'3_채널별_비용설정'!$O$6:$O$55,"&gt;="&amp;B112)))</f>
      </c>
      <c r="N112" s="12" t="str">
        <f>IF(J112="","",IF(J112&lt;&gt;"정상","비용 설정 필요",SUMIFS('3_채널별_비용설정'!$M$6:$M$55,'3_채널별_비용설정'!$C$6:$C$55,C112,'3_채널별_비용설정'!$D$6:$D$55,"&lt;="&amp;B112,'3_채널별_비용설정'!$O$6:$O$55,"&gt;="&amp;B112)))</f>
      </c>
      <c r="O112" s="12" t="str">
        <f>IF(J112="","",IF(J112&lt;&gt;"정상","비용 설정 필요",(D112*M112)+(E112*N112)))</f>
      </c>
      <c r="P112" s="12" t="str">
        <f>IF(J112="","",IF(J112&lt;&gt;"정상","비용 설정 필요",L112+O112+H112))</f>
      </c>
      <c r="Q112" s="13" t="str">
        <f>IF(J112="","",IF(J112&lt;&gt;"정상","비용 설정 필요",G112-P112))</f>
      </c>
      <c r="R112" s="14" t="str">
        <f>IF(J112="","",IF(J112&lt;&gt;"정상","비용 설정 필요",IFERROR(Q112/G112,0)))</f>
      </c>
    </row>
    <row r="113">
      <c r="B113" s="7"/>
      <c r="C113" s="5"/>
      <c r="D113" s="8"/>
      <c r="E113" s="8"/>
      <c r="F113" s="12" t="str">
        <f>IF(AND(B113="",C113=""),"",SUM(D113:E113))</f>
      </c>
      <c r="G113" s="8"/>
      <c r="H113" s="8"/>
      <c r="I113" s="6"/>
      <c r="J113" s="10" t="str">
        <f>IF(AND(B113="",C113=""),"",IF(OR(B113="",C113=""),"비용 설정 필요",IF(COUNTIFS('3_채널별_비용설정'!$C$6:$C$55,C113,'3_채널별_비용설정'!$D$6:$D$55,"&lt;="&amp;B113,'3_채널별_비용설정'!$O$6:$O$55,"&gt;="&amp;B113)=0,"비용 설정 필요",IF(COUNTIFS('3_채널별_비용설정'!$C$6:$C$55,C113,'3_채널별_비용설정'!$D$6:$D$55,"&lt;="&amp;B113,'3_채널별_비용설정'!$O$6:$O$55,"&gt;="&amp;B113)&gt;1,"기간 중복 확인","정상"))))</f>
      </c>
      <c r="K113" s="15" t="str">
        <f>IF(J113="","",IF(J113&lt;&gt;"정상","비용 설정 필요",SUMIFS('3_채널별_비용설정'!$F$6:$F$55,'3_채널별_비용설정'!$C$6:$C$55,C113,'3_채널별_비용설정'!$D$6:$D$55,"&lt;="&amp;B113,'3_채널별_비용설정'!$O$6:$O$55,"&gt;="&amp;B113)))</f>
      </c>
      <c r="L113" s="12" t="str">
        <f>IF(J113="","",IF(J113&lt;&gt;"정상","비용 설정 필요",ROUND(G113*K113,0)))</f>
      </c>
      <c r="M113" s="12" t="str">
        <f>IF(J113="","",IF(J113&lt;&gt;"정상","비용 설정 필요",SUMIFS('3_채널별_비용설정'!$L$6:$L$55,'3_채널별_비용설정'!$C$6:$C$55,C113,'3_채널별_비용설정'!$D$6:$D$55,"&lt;="&amp;B113,'3_채널별_비용설정'!$O$6:$O$55,"&gt;="&amp;B113)))</f>
      </c>
      <c r="N113" s="12" t="str">
        <f>IF(J113="","",IF(J113&lt;&gt;"정상","비용 설정 필요",SUMIFS('3_채널별_비용설정'!$M$6:$M$55,'3_채널별_비용설정'!$C$6:$C$55,C113,'3_채널별_비용설정'!$D$6:$D$55,"&lt;="&amp;B113,'3_채널별_비용설정'!$O$6:$O$55,"&gt;="&amp;B113)))</f>
      </c>
      <c r="O113" s="12" t="str">
        <f>IF(J113="","",IF(J113&lt;&gt;"정상","비용 설정 필요",(D113*M113)+(E113*N113)))</f>
      </c>
      <c r="P113" s="12" t="str">
        <f>IF(J113="","",IF(J113&lt;&gt;"정상","비용 설정 필요",L113+O113+H113))</f>
      </c>
      <c r="Q113" s="13" t="str">
        <f>IF(J113="","",IF(J113&lt;&gt;"정상","비용 설정 필요",G113-P113))</f>
      </c>
      <c r="R113" s="14" t="str">
        <f>IF(J113="","",IF(J113&lt;&gt;"정상","비용 설정 필요",IFERROR(Q113/G113,0)))</f>
      </c>
    </row>
    <row r="114">
      <c r="B114" s="7"/>
      <c r="C114" s="5"/>
      <c r="D114" s="8"/>
      <c r="E114" s="8"/>
      <c r="F114" s="12" t="str">
        <f>IF(AND(B114="",C114=""),"",SUM(D114:E114))</f>
      </c>
      <c r="G114" s="8"/>
      <c r="H114" s="8"/>
      <c r="I114" s="6"/>
      <c r="J114" s="10" t="str">
        <f>IF(AND(B114="",C114=""),"",IF(OR(B114="",C114=""),"비용 설정 필요",IF(COUNTIFS('3_채널별_비용설정'!$C$6:$C$55,C114,'3_채널별_비용설정'!$D$6:$D$55,"&lt;="&amp;B114,'3_채널별_비용설정'!$O$6:$O$55,"&gt;="&amp;B114)=0,"비용 설정 필요",IF(COUNTIFS('3_채널별_비용설정'!$C$6:$C$55,C114,'3_채널별_비용설정'!$D$6:$D$55,"&lt;="&amp;B114,'3_채널별_비용설정'!$O$6:$O$55,"&gt;="&amp;B114)&gt;1,"기간 중복 확인","정상"))))</f>
      </c>
      <c r="K114" s="15" t="str">
        <f>IF(J114="","",IF(J114&lt;&gt;"정상","비용 설정 필요",SUMIFS('3_채널별_비용설정'!$F$6:$F$55,'3_채널별_비용설정'!$C$6:$C$55,C114,'3_채널별_비용설정'!$D$6:$D$55,"&lt;="&amp;B114,'3_채널별_비용설정'!$O$6:$O$55,"&gt;="&amp;B114)))</f>
      </c>
      <c r="L114" s="12" t="str">
        <f>IF(J114="","",IF(J114&lt;&gt;"정상","비용 설정 필요",ROUND(G114*K114,0)))</f>
      </c>
      <c r="M114" s="12" t="str">
        <f>IF(J114="","",IF(J114&lt;&gt;"정상","비용 설정 필요",SUMIFS('3_채널별_비용설정'!$L$6:$L$55,'3_채널별_비용설정'!$C$6:$C$55,C114,'3_채널별_비용설정'!$D$6:$D$55,"&lt;="&amp;B114,'3_채널별_비용설정'!$O$6:$O$55,"&gt;="&amp;B114)))</f>
      </c>
      <c r="N114" s="12" t="str">
        <f>IF(J114="","",IF(J114&lt;&gt;"정상","비용 설정 필요",SUMIFS('3_채널별_비용설정'!$M$6:$M$55,'3_채널별_비용설정'!$C$6:$C$55,C114,'3_채널별_비용설정'!$D$6:$D$55,"&lt;="&amp;B114,'3_채널별_비용설정'!$O$6:$O$55,"&gt;="&amp;B114)))</f>
      </c>
      <c r="O114" s="12" t="str">
        <f>IF(J114="","",IF(J114&lt;&gt;"정상","비용 설정 필요",(D114*M114)+(E114*N114)))</f>
      </c>
      <c r="P114" s="12" t="str">
        <f>IF(J114="","",IF(J114&lt;&gt;"정상","비용 설정 필요",L114+O114+H114))</f>
      </c>
      <c r="Q114" s="13" t="str">
        <f>IF(J114="","",IF(J114&lt;&gt;"정상","비용 설정 필요",G114-P114))</f>
      </c>
      <c r="R114" s="14" t="str">
        <f>IF(J114="","",IF(J114&lt;&gt;"정상","비용 설정 필요",IFERROR(Q114/G114,0)))</f>
      </c>
    </row>
    <row r="115">
      <c r="B115" s="7"/>
      <c r="C115" s="5"/>
      <c r="D115" s="8"/>
      <c r="E115" s="8"/>
      <c r="F115" s="12" t="str">
        <f>IF(AND(B115="",C115=""),"",SUM(D115:E115))</f>
      </c>
      <c r="G115" s="8"/>
      <c r="H115" s="8"/>
      <c r="I115" s="6"/>
      <c r="J115" s="10" t="str">
        <f>IF(AND(B115="",C115=""),"",IF(OR(B115="",C115=""),"비용 설정 필요",IF(COUNTIFS('3_채널별_비용설정'!$C$6:$C$55,C115,'3_채널별_비용설정'!$D$6:$D$55,"&lt;="&amp;B115,'3_채널별_비용설정'!$O$6:$O$55,"&gt;="&amp;B115)=0,"비용 설정 필요",IF(COUNTIFS('3_채널별_비용설정'!$C$6:$C$55,C115,'3_채널별_비용설정'!$D$6:$D$55,"&lt;="&amp;B115,'3_채널별_비용설정'!$O$6:$O$55,"&gt;="&amp;B115)&gt;1,"기간 중복 확인","정상"))))</f>
      </c>
      <c r="K115" s="15" t="str">
        <f>IF(J115="","",IF(J115&lt;&gt;"정상","비용 설정 필요",SUMIFS('3_채널별_비용설정'!$F$6:$F$55,'3_채널별_비용설정'!$C$6:$C$55,C115,'3_채널별_비용설정'!$D$6:$D$55,"&lt;="&amp;B115,'3_채널별_비용설정'!$O$6:$O$55,"&gt;="&amp;B115)))</f>
      </c>
      <c r="L115" s="12" t="str">
        <f>IF(J115="","",IF(J115&lt;&gt;"정상","비용 설정 필요",ROUND(G115*K115,0)))</f>
      </c>
      <c r="M115" s="12" t="str">
        <f>IF(J115="","",IF(J115&lt;&gt;"정상","비용 설정 필요",SUMIFS('3_채널별_비용설정'!$L$6:$L$55,'3_채널별_비용설정'!$C$6:$C$55,C115,'3_채널별_비용설정'!$D$6:$D$55,"&lt;="&amp;B115,'3_채널별_비용설정'!$O$6:$O$55,"&gt;="&amp;B115)))</f>
      </c>
      <c r="N115" s="12" t="str">
        <f>IF(J115="","",IF(J115&lt;&gt;"정상","비용 설정 필요",SUMIFS('3_채널별_비용설정'!$M$6:$M$55,'3_채널별_비용설정'!$C$6:$C$55,C115,'3_채널별_비용설정'!$D$6:$D$55,"&lt;="&amp;B115,'3_채널별_비용설정'!$O$6:$O$55,"&gt;="&amp;B115)))</f>
      </c>
      <c r="O115" s="12" t="str">
        <f>IF(J115="","",IF(J115&lt;&gt;"정상","비용 설정 필요",(D115*M115)+(E115*N115)))</f>
      </c>
      <c r="P115" s="12" t="str">
        <f>IF(J115="","",IF(J115&lt;&gt;"정상","비용 설정 필요",L115+O115+H115))</f>
      </c>
      <c r="Q115" s="13" t="str">
        <f>IF(J115="","",IF(J115&lt;&gt;"정상","비용 설정 필요",G115-P115))</f>
      </c>
      <c r="R115" s="14" t="str">
        <f>IF(J115="","",IF(J115&lt;&gt;"정상","비용 설정 필요",IFERROR(Q115/G115,0)))</f>
      </c>
    </row>
    <row r="116">
      <c r="B116" s="7"/>
      <c r="C116" s="5"/>
      <c r="D116" s="8"/>
      <c r="E116" s="8"/>
      <c r="F116" s="12" t="str">
        <f>IF(AND(B116="",C116=""),"",SUM(D116:E116))</f>
      </c>
      <c r="G116" s="8"/>
      <c r="H116" s="8"/>
      <c r="I116" s="6"/>
      <c r="J116" s="10" t="str">
        <f>IF(AND(B116="",C116=""),"",IF(OR(B116="",C116=""),"비용 설정 필요",IF(COUNTIFS('3_채널별_비용설정'!$C$6:$C$55,C116,'3_채널별_비용설정'!$D$6:$D$55,"&lt;="&amp;B116,'3_채널별_비용설정'!$O$6:$O$55,"&gt;="&amp;B116)=0,"비용 설정 필요",IF(COUNTIFS('3_채널별_비용설정'!$C$6:$C$55,C116,'3_채널별_비용설정'!$D$6:$D$55,"&lt;="&amp;B116,'3_채널별_비용설정'!$O$6:$O$55,"&gt;="&amp;B116)&gt;1,"기간 중복 확인","정상"))))</f>
      </c>
      <c r="K116" s="15" t="str">
        <f>IF(J116="","",IF(J116&lt;&gt;"정상","비용 설정 필요",SUMIFS('3_채널별_비용설정'!$F$6:$F$55,'3_채널별_비용설정'!$C$6:$C$55,C116,'3_채널별_비용설정'!$D$6:$D$55,"&lt;="&amp;B116,'3_채널별_비용설정'!$O$6:$O$55,"&gt;="&amp;B116)))</f>
      </c>
      <c r="L116" s="12" t="str">
        <f>IF(J116="","",IF(J116&lt;&gt;"정상","비용 설정 필요",ROUND(G116*K116,0)))</f>
      </c>
      <c r="M116" s="12" t="str">
        <f>IF(J116="","",IF(J116&lt;&gt;"정상","비용 설정 필요",SUMIFS('3_채널별_비용설정'!$L$6:$L$55,'3_채널별_비용설정'!$C$6:$C$55,C116,'3_채널별_비용설정'!$D$6:$D$55,"&lt;="&amp;B116,'3_채널별_비용설정'!$O$6:$O$55,"&gt;="&amp;B116)))</f>
      </c>
      <c r="N116" s="12" t="str">
        <f>IF(J116="","",IF(J116&lt;&gt;"정상","비용 설정 필요",SUMIFS('3_채널별_비용설정'!$M$6:$M$55,'3_채널별_비용설정'!$C$6:$C$55,C116,'3_채널별_비용설정'!$D$6:$D$55,"&lt;="&amp;B116,'3_채널별_비용설정'!$O$6:$O$55,"&gt;="&amp;B116)))</f>
      </c>
      <c r="O116" s="12" t="str">
        <f>IF(J116="","",IF(J116&lt;&gt;"정상","비용 설정 필요",(D116*M116)+(E116*N116)))</f>
      </c>
      <c r="P116" s="12" t="str">
        <f>IF(J116="","",IF(J116&lt;&gt;"정상","비용 설정 필요",L116+O116+H116))</f>
      </c>
      <c r="Q116" s="13" t="str">
        <f>IF(J116="","",IF(J116&lt;&gt;"정상","비용 설정 필요",G116-P116))</f>
      </c>
      <c r="R116" s="14" t="str">
        <f>IF(J116="","",IF(J116&lt;&gt;"정상","비용 설정 필요",IFERROR(Q116/G116,0)))</f>
      </c>
    </row>
    <row r="117">
      <c r="B117" s="7"/>
      <c r="C117" s="5"/>
      <c r="D117" s="8"/>
      <c r="E117" s="8"/>
      <c r="F117" s="12" t="str">
        <f>IF(AND(B117="",C117=""),"",SUM(D117:E117))</f>
      </c>
      <c r="G117" s="8"/>
      <c r="H117" s="8"/>
      <c r="I117" s="6"/>
      <c r="J117" s="10" t="str">
        <f>IF(AND(B117="",C117=""),"",IF(OR(B117="",C117=""),"비용 설정 필요",IF(COUNTIFS('3_채널별_비용설정'!$C$6:$C$55,C117,'3_채널별_비용설정'!$D$6:$D$55,"&lt;="&amp;B117,'3_채널별_비용설정'!$O$6:$O$55,"&gt;="&amp;B117)=0,"비용 설정 필요",IF(COUNTIFS('3_채널별_비용설정'!$C$6:$C$55,C117,'3_채널별_비용설정'!$D$6:$D$55,"&lt;="&amp;B117,'3_채널별_비용설정'!$O$6:$O$55,"&gt;="&amp;B117)&gt;1,"기간 중복 확인","정상"))))</f>
      </c>
      <c r="K117" s="15" t="str">
        <f>IF(J117="","",IF(J117&lt;&gt;"정상","비용 설정 필요",SUMIFS('3_채널별_비용설정'!$F$6:$F$55,'3_채널별_비용설정'!$C$6:$C$55,C117,'3_채널별_비용설정'!$D$6:$D$55,"&lt;="&amp;B117,'3_채널별_비용설정'!$O$6:$O$55,"&gt;="&amp;B117)))</f>
      </c>
      <c r="L117" s="12" t="str">
        <f>IF(J117="","",IF(J117&lt;&gt;"정상","비용 설정 필요",ROUND(G117*K117,0)))</f>
      </c>
      <c r="M117" s="12" t="str">
        <f>IF(J117="","",IF(J117&lt;&gt;"정상","비용 설정 필요",SUMIFS('3_채널별_비용설정'!$L$6:$L$55,'3_채널별_비용설정'!$C$6:$C$55,C117,'3_채널별_비용설정'!$D$6:$D$55,"&lt;="&amp;B117,'3_채널별_비용설정'!$O$6:$O$55,"&gt;="&amp;B117)))</f>
      </c>
      <c r="N117" s="12" t="str">
        <f>IF(J117="","",IF(J117&lt;&gt;"정상","비용 설정 필요",SUMIFS('3_채널별_비용설정'!$M$6:$M$55,'3_채널별_비용설정'!$C$6:$C$55,C117,'3_채널별_비용설정'!$D$6:$D$55,"&lt;="&amp;B117,'3_채널별_비용설정'!$O$6:$O$55,"&gt;="&amp;B117)))</f>
      </c>
      <c r="O117" s="12" t="str">
        <f>IF(J117="","",IF(J117&lt;&gt;"정상","비용 설정 필요",(D117*M117)+(E117*N117)))</f>
      </c>
      <c r="P117" s="12" t="str">
        <f>IF(J117="","",IF(J117&lt;&gt;"정상","비용 설정 필요",L117+O117+H117))</f>
      </c>
      <c r="Q117" s="13" t="str">
        <f>IF(J117="","",IF(J117&lt;&gt;"정상","비용 설정 필요",G117-P117))</f>
      </c>
      <c r="R117" s="14" t="str">
        <f>IF(J117="","",IF(J117&lt;&gt;"정상","비용 설정 필요",IFERROR(Q117/G117,0)))</f>
      </c>
    </row>
    <row r="118">
      <c r="B118" s="7"/>
      <c r="C118" s="5"/>
      <c r="D118" s="8"/>
      <c r="E118" s="8"/>
      <c r="F118" s="12" t="str">
        <f>IF(AND(B118="",C118=""),"",SUM(D118:E118))</f>
      </c>
      <c r="G118" s="8"/>
      <c r="H118" s="8"/>
      <c r="I118" s="6"/>
      <c r="J118" s="10" t="str">
        <f>IF(AND(B118="",C118=""),"",IF(OR(B118="",C118=""),"비용 설정 필요",IF(COUNTIFS('3_채널별_비용설정'!$C$6:$C$55,C118,'3_채널별_비용설정'!$D$6:$D$55,"&lt;="&amp;B118,'3_채널별_비용설정'!$O$6:$O$55,"&gt;="&amp;B118)=0,"비용 설정 필요",IF(COUNTIFS('3_채널별_비용설정'!$C$6:$C$55,C118,'3_채널별_비용설정'!$D$6:$D$55,"&lt;="&amp;B118,'3_채널별_비용설정'!$O$6:$O$55,"&gt;="&amp;B118)&gt;1,"기간 중복 확인","정상"))))</f>
      </c>
      <c r="K118" s="15" t="str">
        <f>IF(J118="","",IF(J118&lt;&gt;"정상","비용 설정 필요",SUMIFS('3_채널별_비용설정'!$F$6:$F$55,'3_채널별_비용설정'!$C$6:$C$55,C118,'3_채널별_비용설정'!$D$6:$D$55,"&lt;="&amp;B118,'3_채널별_비용설정'!$O$6:$O$55,"&gt;="&amp;B118)))</f>
      </c>
      <c r="L118" s="12" t="str">
        <f>IF(J118="","",IF(J118&lt;&gt;"정상","비용 설정 필요",ROUND(G118*K118,0)))</f>
      </c>
      <c r="M118" s="12" t="str">
        <f>IF(J118="","",IF(J118&lt;&gt;"정상","비용 설정 필요",SUMIFS('3_채널별_비용설정'!$L$6:$L$55,'3_채널별_비용설정'!$C$6:$C$55,C118,'3_채널별_비용설정'!$D$6:$D$55,"&lt;="&amp;B118,'3_채널별_비용설정'!$O$6:$O$55,"&gt;="&amp;B118)))</f>
      </c>
      <c r="N118" s="12" t="str">
        <f>IF(J118="","",IF(J118&lt;&gt;"정상","비용 설정 필요",SUMIFS('3_채널별_비용설정'!$M$6:$M$55,'3_채널별_비용설정'!$C$6:$C$55,C118,'3_채널별_비용설정'!$D$6:$D$55,"&lt;="&amp;B118,'3_채널별_비용설정'!$O$6:$O$55,"&gt;="&amp;B118)))</f>
      </c>
      <c r="O118" s="12" t="str">
        <f>IF(J118="","",IF(J118&lt;&gt;"정상","비용 설정 필요",(D118*M118)+(E118*N118)))</f>
      </c>
      <c r="P118" s="12" t="str">
        <f>IF(J118="","",IF(J118&lt;&gt;"정상","비용 설정 필요",L118+O118+H118))</f>
      </c>
      <c r="Q118" s="13" t="str">
        <f>IF(J118="","",IF(J118&lt;&gt;"정상","비용 설정 필요",G118-P118))</f>
      </c>
      <c r="R118" s="14" t="str">
        <f>IF(J118="","",IF(J118&lt;&gt;"정상","비용 설정 필요",IFERROR(Q118/G118,0)))</f>
      </c>
    </row>
    <row r="119">
      <c r="B119" s="7"/>
      <c r="C119" s="5"/>
      <c r="D119" s="8"/>
      <c r="E119" s="8"/>
      <c r="F119" s="12" t="str">
        <f>IF(AND(B119="",C119=""),"",SUM(D119:E119))</f>
      </c>
      <c r="G119" s="8"/>
      <c r="H119" s="8"/>
      <c r="I119" s="6"/>
      <c r="J119" s="10" t="str">
        <f>IF(AND(B119="",C119=""),"",IF(OR(B119="",C119=""),"비용 설정 필요",IF(COUNTIFS('3_채널별_비용설정'!$C$6:$C$55,C119,'3_채널별_비용설정'!$D$6:$D$55,"&lt;="&amp;B119,'3_채널별_비용설정'!$O$6:$O$55,"&gt;="&amp;B119)=0,"비용 설정 필요",IF(COUNTIFS('3_채널별_비용설정'!$C$6:$C$55,C119,'3_채널별_비용설정'!$D$6:$D$55,"&lt;="&amp;B119,'3_채널별_비용설정'!$O$6:$O$55,"&gt;="&amp;B119)&gt;1,"기간 중복 확인","정상"))))</f>
      </c>
      <c r="K119" s="15" t="str">
        <f>IF(J119="","",IF(J119&lt;&gt;"정상","비용 설정 필요",SUMIFS('3_채널별_비용설정'!$F$6:$F$55,'3_채널별_비용설정'!$C$6:$C$55,C119,'3_채널별_비용설정'!$D$6:$D$55,"&lt;="&amp;B119,'3_채널별_비용설정'!$O$6:$O$55,"&gt;="&amp;B119)))</f>
      </c>
      <c r="L119" s="12" t="str">
        <f>IF(J119="","",IF(J119&lt;&gt;"정상","비용 설정 필요",ROUND(G119*K119,0)))</f>
      </c>
      <c r="M119" s="12" t="str">
        <f>IF(J119="","",IF(J119&lt;&gt;"정상","비용 설정 필요",SUMIFS('3_채널별_비용설정'!$L$6:$L$55,'3_채널별_비용설정'!$C$6:$C$55,C119,'3_채널별_비용설정'!$D$6:$D$55,"&lt;="&amp;B119,'3_채널별_비용설정'!$O$6:$O$55,"&gt;="&amp;B119)))</f>
      </c>
      <c r="N119" s="12" t="str">
        <f>IF(J119="","",IF(J119&lt;&gt;"정상","비용 설정 필요",SUMIFS('3_채널별_비용설정'!$M$6:$M$55,'3_채널별_비용설정'!$C$6:$C$55,C119,'3_채널별_비용설정'!$D$6:$D$55,"&lt;="&amp;B119,'3_채널별_비용설정'!$O$6:$O$55,"&gt;="&amp;B119)))</f>
      </c>
      <c r="O119" s="12" t="str">
        <f>IF(J119="","",IF(J119&lt;&gt;"정상","비용 설정 필요",(D119*M119)+(E119*N119)))</f>
      </c>
      <c r="P119" s="12" t="str">
        <f>IF(J119="","",IF(J119&lt;&gt;"정상","비용 설정 필요",L119+O119+H119))</f>
      </c>
      <c r="Q119" s="13" t="str">
        <f>IF(J119="","",IF(J119&lt;&gt;"정상","비용 설정 필요",G119-P119))</f>
      </c>
      <c r="R119" s="14" t="str">
        <f>IF(J119="","",IF(J119&lt;&gt;"정상","비용 설정 필요",IFERROR(Q119/G119,0)))</f>
      </c>
    </row>
    <row r="120">
      <c r="B120" s="7"/>
      <c r="C120" s="5"/>
      <c r="D120" s="8"/>
      <c r="E120" s="8"/>
      <c r="F120" s="12" t="str">
        <f>IF(AND(B120="",C120=""),"",SUM(D120:E120))</f>
      </c>
      <c r="G120" s="8"/>
      <c r="H120" s="8"/>
      <c r="I120" s="6"/>
      <c r="J120" s="10" t="str">
        <f>IF(AND(B120="",C120=""),"",IF(OR(B120="",C120=""),"비용 설정 필요",IF(COUNTIFS('3_채널별_비용설정'!$C$6:$C$55,C120,'3_채널별_비용설정'!$D$6:$D$55,"&lt;="&amp;B120,'3_채널별_비용설정'!$O$6:$O$55,"&gt;="&amp;B120)=0,"비용 설정 필요",IF(COUNTIFS('3_채널별_비용설정'!$C$6:$C$55,C120,'3_채널별_비용설정'!$D$6:$D$55,"&lt;="&amp;B120,'3_채널별_비용설정'!$O$6:$O$55,"&gt;="&amp;B120)&gt;1,"기간 중복 확인","정상"))))</f>
      </c>
      <c r="K120" s="15" t="str">
        <f>IF(J120="","",IF(J120&lt;&gt;"정상","비용 설정 필요",SUMIFS('3_채널별_비용설정'!$F$6:$F$55,'3_채널별_비용설정'!$C$6:$C$55,C120,'3_채널별_비용설정'!$D$6:$D$55,"&lt;="&amp;B120,'3_채널별_비용설정'!$O$6:$O$55,"&gt;="&amp;B120)))</f>
      </c>
      <c r="L120" s="12" t="str">
        <f>IF(J120="","",IF(J120&lt;&gt;"정상","비용 설정 필요",ROUND(G120*K120,0)))</f>
      </c>
      <c r="M120" s="12" t="str">
        <f>IF(J120="","",IF(J120&lt;&gt;"정상","비용 설정 필요",SUMIFS('3_채널별_비용설정'!$L$6:$L$55,'3_채널별_비용설정'!$C$6:$C$55,C120,'3_채널별_비용설정'!$D$6:$D$55,"&lt;="&amp;B120,'3_채널별_비용설정'!$O$6:$O$55,"&gt;="&amp;B120)))</f>
      </c>
      <c r="N120" s="12" t="str">
        <f>IF(J120="","",IF(J120&lt;&gt;"정상","비용 설정 필요",SUMIFS('3_채널별_비용설정'!$M$6:$M$55,'3_채널별_비용설정'!$C$6:$C$55,C120,'3_채널별_비용설정'!$D$6:$D$55,"&lt;="&amp;B120,'3_채널별_비용설정'!$O$6:$O$55,"&gt;="&amp;B120)))</f>
      </c>
      <c r="O120" s="12" t="str">
        <f>IF(J120="","",IF(J120&lt;&gt;"정상","비용 설정 필요",(D120*M120)+(E120*N120)))</f>
      </c>
      <c r="P120" s="12" t="str">
        <f>IF(J120="","",IF(J120&lt;&gt;"정상","비용 설정 필요",L120+O120+H120))</f>
      </c>
      <c r="Q120" s="13" t="str">
        <f>IF(J120="","",IF(J120&lt;&gt;"정상","비용 설정 필요",G120-P120))</f>
      </c>
      <c r="R120" s="14" t="str">
        <f>IF(J120="","",IF(J120&lt;&gt;"정상","비용 설정 필요",IFERROR(Q120/G120,0)))</f>
      </c>
    </row>
    <row r="121">
      <c r="B121" s="7"/>
      <c r="C121" s="5"/>
      <c r="D121" s="8"/>
      <c r="E121" s="8"/>
      <c r="F121" s="12" t="str">
        <f>IF(AND(B121="",C121=""),"",SUM(D121:E121))</f>
      </c>
      <c r="G121" s="8"/>
      <c r="H121" s="8"/>
      <c r="I121" s="6"/>
      <c r="J121" s="10" t="str">
        <f>IF(AND(B121="",C121=""),"",IF(OR(B121="",C121=""),"비용 설정 필요",IF(COUNTIFS('3_채널별_비용설정'!$C$6:$C$55,C121,'3_채널별_비용설정'!$D$6:$D$55,"&lt;="&amp;B121,'3_채널별_비용설정'!$O$6:$O$55,"&gt;="&amp;B121)=0,"비용 설정 필요",IF(COUNTIFS('3_채널별_비용설정'!$C$6:$C$55,C121,'3_채널별_비용설정'!$D$6:$D$55,"&lt;="&amp;B121,'3_채널별_비용설정'!$O$6:$O$55,"&gt;="&amp;B121)&gt;1,"기간 중복 확인","정상"))))</f>
      </c>
      <c r="K121" s="15" t="str">
        <f>IF(J121="","",IF(J121&lt;&gt;"정상","비용 설정 필요",SUMIFS('3_채널별_비용설정'!$F$6:$F$55,'3_채널별_비용설정'!$C$6:$C$55,C121,'3_채널별_비용설정'!$D$6:$D$55,"&lt;="&amp;B121,'3_채널별_비용설정'!$O$6:$O$55,"&gt;="&amp;B121)))</f>
      </c>
      <c r="L121" s="12" t="str">
        <f>IF(J121="","",IF(J121&lt;&gt;"정상","비용 설정 필요",ROUND(G121*K121,0)))</f>
      </c>
      <c r="M121" s="12" t="str">
        <f>IF(J121="","",IF(J121&lt;&gt;"정상","비용 설정 필요",SUMIFS('3_채널별_비용설정'!$L$6:$L$55,'3_채널별_비용설정'!$C$6:$C$55,C121,'3_채널별_비용설정'!$D$6:$D$55,"&lt;="&amp;B121,'3_채널별_비용설정'!$O$6:$O$55,"&gt;="&amp;B121)))</f>
      </c>
      <c r="N121" s="12" t="str">
        <f>IF(J121="","",IF(J121&lt;&gt;"정상","비용 설정 필요",SUMIFS('3_채널별_비용설정'!$M$6:$M$55,'3_채널별_비용설정'!$C$6:$C$55,C121,'3_채널별_비용설정'!$D$6:$D$55,"&lt;="&amp;B121,'3_채널별_비용설정'!$O$6:$O$55,"&gt;="&amp;B121)))</f>
      </c>
      <c r="O121" s="12" t="str">
        <f>IF(J121="","",IF(J121&lt;&gt;"정상","비용 설정 필요",(D121*M121)+(E121*N121)))</f>
      </c>
      <c r="P121" s="12" t="str">
        <f>IF(J121="","",IF(J121&lt;&gt;"정상","비용 설정 필요",L121+O121+H121))</f>
      </c>
      <c r="Q121" s="13" t="str">
        <f>IF(J121="","",IF(J121&lt;&gt;"정상","비용 설정 필요",G121-P121))</f>
      </c>
      <c r="R121" s="14" t="str">
        <f>IF(J121="","",IF(J121&lt;&gt;"정상","비용 설정 필요",IFERROR(Q121/G121,0)))</f>
      </c>
    </row>
    <row r="122">
      <c r="B122" s="7"/>
      <c r="C122" s="5"/>
      <c r="D122" s="8"/>
      <c r="E122" s="8"/>
      <c r="F122" s="12" t="str">
        <f>IF(AND(B122="",C122=""),"",SUM(D122:E122))</f>
      </c>
      <c r="G122" s="8"/>
      <c r="H122" s="8"/>
      <c r="I122" s="6"/>
      <c r="J122" s="10" t="str">
        <f>IF(AND(B122="",C122=""),"",IF(OR(B122="",C122=""),"비용 설정 필요",IF(COUNTIFS('3_채널별_비용설정'!$C$6:$C$55,C122,'3_채널별_비용설정'!$D$6:$D$55,"&lt;="&amp;B122,'3_채널별_비용설정'!$O$6:$O$55,"&gt;="&amp;B122)=0,"비용 설정 필요",IF(COUNTIFS('3_채널별_비용설정'!$C$6:$C$55,C122,'3_채널별_비용설정'!$D$6:$D$55,"&lt;="&amp;B122,'3_채널별_비용설정'!$O$6:$O$55,"&gt;="&amp;B122)&gt;1,"기간 중복 확인","정상"))))</f>
      </c>
      <c r="K122" s="15" t="str">
        <f>IF(J122="","",IF(J122&lt;&gt;"정상","비용 설정 필요",SUMIFS('3_채널별_비용설정'!$F$6:$F$55,'3_채널별_비용설정'!$C$6:$C$55,C122,'3_채널별_비용설정'!$D$6:$D$55,"&lt;="&amp;B122,'3_채널별_비용설정'!$O$6:$O$55,"&gt;="&amp;B122)))</f>
      </c>
      <c r="L122" s="12" t="str">
        <f>IF(J122="","",IF(J122&lt;&gt;"정상","비용 설정 필요",ROUND(G122*K122,0)))</f>
      </c>
      <c r="M122" s="12" t="str">
        <f>IF(J122="","",IF(J122&lt;&gt;"정상","비용 설정 필요",SUMIFS('3_채널별_비용설정'!$L$6:$L$55,'3_채널별_비용설정'!$C$6:$C$55,C122,'3_채널별_비용설정'!$D$6:$D$55,"&lt;="&amp;B122,'3_채널별_비용설정'!$O$6:$O$55,"&gt;="&amp;B122)))</f>
      </c>
      <c r="N122" s="12" t="str">
        <f>IF(J122="","",IF(J122&lt;&gt;"정상","비용 설정 필요",SUMIFS('3_채널별_비용설정'!$M$6:$M$55,'3_채널별_비용설정'!$C$6:$C$55,C122,'3_채널별_비용설정'!$D$6:$D$55,"&lt;="&amp;B122,'3_채널별_비용설정'!$O$6:$O$55,"&gt;="&amp;B122)))</f>
      </c>
      <c r="O122" s="12" t="str">
        <f>IF(J122="","",IF(J122&lt;&gt;"정상","비용 설정 필요",(D122*M122)+(E122*N122)))</f>
      </c>
      <c r="P122" s="12" t="str">
        <f>IF(J122="","",IF(J122&lt;&gt;"정상","비용 설정 필요",L122+O122+H122))</f>
      </c>
      <c r="Q122" s="13" t="str">
        <f>IF(J122="","",IF(J122&lt;&gt;"정상","비용 설정 필요",G122-P122))</f>
      </c>
      <c r="R122" s="14" t="str">
        <f>IF(J122="","",IF(J122&lt;&gt;"정상","비용 설정 필요",IFERROR(Q122/G122,0)))</f>
      </c>
    </row>
    <row r="123">
      <c r="B123" s="7"/>
      <c r="C123" s="5"/>
      <c r="D123" s="8"/>
      <c r="E123" s="8"/>
      <c r="F123" s="12" t="str">
        <f>IF(AND(B123="",C123=""),"",SUM(D123:E123))</f>
      </c>
      <c r="G123" s="8"/>
      <c r="H123" s="8"/>
      <c r="I123" s="6"/>
      <c r="J123" s="10" t="str">
        <f>IF(AND(B123="",C123=""),"",IF(OR(B123="",C123=""),"비용 설정 필요",IF(COUNTIFS('3_채널별_비용설정'!$C$6:$C$55,C123,'3_채널별_비용설정'!$D$6:$D$55,"&lt;="&amp;B123,'3_채널별_비용설정'!$O$6:$O$55,"&gt;="&amp;B123)=0,"비용 설정 필요",IF(COUNTIFS('3_채널별_비용설정'!$C$6:$C$55,C123,'3_채널별_비용설정'!$D$6:$D$55,"&lt;="&amp;B123,'3_채널별_비용설정'!$O$6:$O$55,"&gt;="&amp;B123)&gt;1,"기간 중복 확인","정상"))))</f>
      </c>
      <c r="K123" s="15" t="str">
        <f>IF(J123="","",IF(J123&lt;&gt;"정상","비용 설정 필요",SUMIFS('3_채널별_비용설정'!$F$6:$F$55,'3_채널별_비용설정'!$C$6:$C$55,C123,'3_채널별_비용설정'!$D$6:$D$55,"&lt;="&amp;B123,'3_채널별_비용설정'!$O$6:$O$55,"&gt;="&amp;B123)))</f>
      </c>
      <c r="L123" s="12" t="str">
        <f>IF(J123="","",IF(J123&lt;&gt;"정상","비용 설정 필요",ROUND(G123*K123,0)))</f>
      </c>
      <c r="M123" s="12" t="str">
        <f>IF(J123="","",IF(J123&lt;&gt;"정상","비용 설정 필요",SUMIFS('3_채널별_비용설정'!$L$6:$L$55,'3_채널별_비용설정'!$C$6:$C$55,C123,'3_채널별_비용설정'!$D$6:$D$55,"&lt;="&amp;B123,'3_채널별_비용설정'!$O$6:$O$55,"&gt;="&amp;B123)))</f>
      </c>
      <c r="N123" s="12" t="str">
        <f>IF(J123="","",IF(J123&lt;&gt;"정상","비용 설정 필요",SUMIFS('3_채널별_비용설정'!$M$6:$M$55,'3_채널별_비용설정'!$C$6:$C$55,C123,'3_채널별_비용설정'!$D$6:$D$55,"&lt;="&amp;B123,'3_채널별_비용설정'!$O$6:$O$55,"&gt;="&amp;B123)))</f>
      </c>
      <c r="O123" s="12" t="str">
        <f>IF(J123="","",IF(J123&lt;&gt;"정상","비용 설정 필요",(D123*M123)+(E123*N123)))</f>
      </c>
      <c r="P123" s="12" t="str">
        <f>IF(J123="","",IF(J123&lt;&gt;"정상","비용 설정 필요",L123+O123+H123))</f>
      </c>
      <c r="Q123" s="13" t="str">
        <f>IF(J123="","",IF(J123&lt;&gt;"정상","비용 설정 필요",G123-P123))</f>
      </c>
      <c r="R123" s="14" t="str">
        <f>IF(J123="","",IF(J123&lt;&gt;"정상","비용 설정 필요",IFERROR(Q123/G123,0)))</f>
      </c>
    </row>
    <row r="124">
      <c r="B124" s="7"/>
      <c r="C124" s="5"/>
      <c r="D124" s="8"/>
      <c r="E124" s="8"/>
      <c r="F124" s="12" t="str">
        <f>IF(AND(B124="",C124=""),"",SUM(D124:E124))</f>
      </c>
      <c r="G124" s="8"/>
      <c r="H124" s="8"/>
      <c r="I124" s="6"/>
      <c r="J124" s="10" t="str">
        <f>IF(AND(B124="",C124=""),"",IF(OR(B124="",C124=""),"비용 설정 필요",IF(COUNTIFS('3_채널별_비용설정'!$C$6:$C$55,C124,'3_채널별_비용설정'!$D$6:$D$55,"&lt;="&amp;B124,'3_채널별_비용설정'!$O$6:$O$55,"&gt;="&amp;B124)=0,"비용 설정 필요",IF(COUNTIFS('3_채널별_비용설정'!$C$6:$C$55,C124,'3_채널별_비용설정'!$D$6:$D$55,"&lt;="&amp;B124,'3_채널별_비용설정'!$O$6:$O$55,"&gt;="&amp;B124)&gt;1,"기간 중복 확인","정상"))))</f>
      </c>
      <c r="K124" s="15" t="str">
        <f>IF(J124="","",IF(J124&lt;&gt;"정상","비용 설정 필요",SUMIFS('3_채널별_비용설정'!$F$6:$F$55,'3_채널별_비용설정'!$C$6:$C$55,C124,'3_채널별_비용설정'!$D$6:$D$55,"&lt;="&amp;B124,'3_채널별_비용설정'!$O$6:$O$55,"&gt;="&amp;B124)))</f>
      </c>
      <c r="L124" s="12" t="str">
        <f>IF(J124="","",IF(J124&lt;&gt;"정상","비용 설정 필요",ROUND(G124*K124,0)))</f>
      </c>
      <c r="M124" s="12" t="str">
        <f>IF(J124="","",IF(J124&lt;&gt;"정상","비용 설정 필요",SUMIFS('3_채널별_비용설정'!$L$6:$L$55,'3_채널별_비용설정'!$C$6:$C$55,C124,'3_채널별_비용설정'!$D$6:$D$55,"&lt;="&amp;B124,'3_채널별_비용설정'!$O$6:$O$55,"&gt;="&amp;B124)))</f>
      </c>
      <c r="N124" s="12" t="str">
        <f>IF(J124="","",IF(J124&lt;&gt;"정상","비용 설정 필요",SUMIFS('3_채널별_비용설정'!$M$6:$M$55,'3_채널별_비용설정'!$C$6:$C$55,C124,'3_채널별_비용설정'!$D$6:$D$55,"&lt;="&amp;B124,'3_채널별_비용설정'!$O$6:$O$55,"&gt;="&amp;B124)))</f>
      </c>
      <c r="O124" s="12" t="str">
        <f>IF(J124="","",IF(J124&lt;&gt;"정상","비용 설정 필요",(D124*M124)+(E124*N124)))</f>
      </c>
      <c r="P124" s="12" t="str">
        <f>IF(J124="","",IF(J124&lt;&gt;"정상","비용 설정 필요",L124+O124+H124))</f>
      </c>
      <c r="Q124" s="13" t="str">
        <f>IF(J124="","",IF(J124&lt;&gt;"정상","비용 설정 필요",G124-P124))</f>
      </c>
      <c r="R124" s="14" t="str">
        <f>IF(J124="","",IF(J124&lt;&gt;"정상","비용 설정 필요",IFERROR(Q124/G124,0)))</f>
      </c>
    </row>
    <row r="125">
      <c r="B125" s="7"/>
      <c r="C125" s="5"/>
      <c r="D125" s="8"/>
      <c r="E125" s="8"/>
      <c r="F125" s="12" t="str">
        <f>IF(AND(B125="",C125=""),"",SUM(D125:E125))</f>
      </c>
      <c r="G125" s="8"/>
      <c r="H125" s="8"/>
      <c r="I125" s="6"/>
      <c r="J125" s="10" t="str">
        <f>IF(AND(B125="",C125=""),"",IF(OR(B125="",C125=""),"비용 설정 필요",IF(COUNTIFS('3_채널별_비용설정'!$C$6:$C$55,C125,'3_채널별_비용설정'!$D$6:$D$55,"&lt;="&amp;B125,'3_채널별_비용설정'!$O$6:$O$55,"&gt;="&amp;B125)=0,"비용 설정 필요",IF(COUNTIFS('3_채널별_비용설정'!$C$6:$C$55,C125,'3_채널별_비용설정'!$D$6:$D$55,"&lt;="&amp;B125,'3_채널별_비용설정'!$O$6:$O$55,"&gt;="&amp;B125)&gt;1,"기간 중복 확인","정상"))))</f>
      </c>
      <c r="K125" s="15" t="str">
        <f>IF(J125="","",IF(J125&lt;&gt;"정상","비용 설정 필요",SUMIFS('3_채널별_비용설정'!$F$6:$F$55,'3_채널별_비용설정'!$C$6:$C$55,C125,'3_채널별_비용설정'!$D$6:$D$55,"&lt;="&amp;B125,'3_채널별_비용설정'!$O$6:$O$55,"&gt;="&amp;B125)))</f>
      </c>
      <c r="L125" s="12" t="str">
        <f>IF(J125="","",IF(J125&lt;&gt;"정상","비용 설정 필요",ROUND(G125*K125,0)))</f>
      </c>
      <c r="M125" s="12" t="str">
        <f>IF(J125="","",IF(J125&lt;&gt;"정상","비용 설정 필요",SUMIFS('3_채널별_비용설정'!$L$6:$L$55,'3_채널별_비용설정'!$C$6:$C$55,C125,'3_채널별_비용설정'!$D$6:$D$55,"&lt;="&amp;B125,'3_채널별_비용설정'!$O$6:$O$55,"&gt;="&amp;B125)))</f>
      </c>
      <c r="N125" s="12" t="str">
        <f>IF(J125="","",IF(J125&lt;&gt;"정상","비용 설정 필요",SUMIFS('3_채널별_비용설정'!$M$6:$M$55,'3_채널별_비용설정'!$C$6:$C$55,C125,'3_채널별_비용설정'!$D$6:$D$55,"&lt;="&amp;B125,'3_채널별_비용설정'!$O$6:$O$55,"&gt;="&amp;B125)))</f>
      </c>
      <c r="O125" s="12" t="str">
        <f>IF(J125="","",IF(J125&lt;&gt;"정상","비용 설정 필요",(D125*M125)+(E125*N125)))</f>
      </c>
      <c r="P125" s="12" t="str">
        <f>IF(J125="","",IF(J125&lt;&gt;"정상","비용 설정 필요",L125+O125+H125))</f>
      </c>
      <c r="Q125" s="13" t="str">
        <f>IF(J125="","",IF(J125&lt;&gt;"정상","비용 설정 필요",G125-P125))</f>
      </c>
      <c r="R125" s="14" t="str">
        <f>IF(J125="","",IF(J125&lt;&gt;"정상","비용 설정 필요",IFERROR(Q125/G125,0)))</f>
      </c>
    </row>
    <row r="126">
      <c r="B126" s="7"/>
      <c r="C126" s="5"/>
      <c r="D126" s="8"/>
      <c r="E126" s="8"/>
      <c r="F126" s="12" t="str">
        <f>IF(AND(B126="",C126=""),"",SUM(D126:E126))</f>
      </c>
      <c r="G126" s="8"/>
      <c r="H126" s="8"/>
      <c r="I126" s="6"/>
      <c r="J126" s="10" t="str">
        <f>IF(AND(B126="",C126=""),"",IF(OR(B126="",C126=""),"비용 설정 필요",IF(COUNTIFS('3_채널별_비용설정'!$C$6:$C$55,C126,'3_채널별_비용설정'!$D$6:$D$55,"&lt;="&amp;B126,'3_채널별_비용설정'!$O$6:$O$55,"&gt;="&amp;B126)=0,"비용 설정 필요",IF(COUNTIFS('3_채널별_비용설정'!$C$6:$C$55,C126,'3_채널별_비용설정'!$D$6:$D$55,"&lt;="&amp;B126,'3_채널별_비용설정'!$O$6:$O$55,"&gt;="&amp;B126)&gt;1,"기간 중복 확인","정상"))))</f>
      </c>
      <c r="K126" s="15" t="str">
        <f>IF(J126="","",IF(J126&lt;&gt;"정상","비용 설정 필요",SUMIFS('3_채널별_비용설정'!$F$6:$F$55,'3_채널별_비용설정'!$C$6:$C$55,C126,'3_채널별_비용설정'!$D$6:$D$55,"&lt;="&amp;B126,'3_채널별_비용설정'!$O$6:$O$55,"&gt;="&amp;B126)))</f>
      </c>
      <c r="L126" s="12" t="str">
        <f>IF(J126="","",IF(J126&lt;&gt;"정상","비용 설정 필요",ROUND(G126*K126,0)))</f>
      </c>
      <c r="M126" s="12" t="str">
        <f>IF(J126="","",IF(J126&lt;&gt;"정상","비용 설정 필요",SUMIFS('3_채널별_비용설정'!$L$6:$L$55,'3_채널별_비용설정'!$C$6:$C$55,C126,'3_채널별_비용설정'!$D$6:$D$55,"&lt;="&amp;B126,'3_채널별_비용설정'!$O$6:$O$55,"&gt;="&amp;B126)))</f>
      </c>
      <c r="N126" s="12" t="str">
        <f>IF(J126="","",IF(J126&lt;&gt;"정상","비용 설정 필요",SUMIFS('3_채널별_비용설정'!$M$6:$M$55,'3_채널별_비용설정'!$C$6:$C$55,C126,'3_채널별_비용설정'!$D$6:$D$55,"&lt;="&amp;B126,'3_채널별_비용설정'!$O$6:$O$55,"&gt;="&amp;B126)))</f>
      </c>
      <c r="O126" s="12" t="str">
        <f>IF(J126="","",IF(J126&lt;&gt;"정상","비용 설정 필요",(D126*M126)+(E126*N126)))</f>
      </c>
      <c r="P126" s="12" t="str">
        <f>IF(J126="","",IF(J126&lt;&gt;"정상","비용 설정 필요",L126+O126+H126))</f>
      </c>
      <c r="Q126" s="13" t="str">
        <f>IF(J126="","",IF(J126&lt;&gt;"정상","비용 설정 필요",G126-P126))</f>
      </c>
      <c r="R126" s="14" t="str">
        <f>IF(J126="","",IF(J126&lt;&gt;"정상","비용 설정 필요",IFERROR(Q126/G126,0)))</f>
      </c>
    </row>
    <row r="127">
      <c r="B127" s="7"/>
      <c r="C127" s="5"/>
      <c r="D127" s="8"/>
      <c r="E127" s="8"/>
      <c r="F127" s="12" t="str">
        <f>IF(AND(B127="",C127=""),"",SUM(D127:E127))</f>
      </c>
      <c r="G127" s="8"/>
      <c r="H127" s="8"/>
      <c r="I127" s="6"/>
      <c r="J127" s="10" t="str">
        <f>IF(AND(B127="",C127=""),"",IF(OR(B127="",C127=""),"비용 설정 필요",IF(COUNTIFS('3_채널별_비용설정'!$C$6:$C$55,C127,'3_채널별_비용설정'!$D$6:$D$55,"&lt;="&amp;B127,'3_채널별_비용설정'!$O$6:$O$55,"&gt;="&amp;B127)=0,"비용 설정 필요",IF(COUNTIFS('3_채널별_비용설정'!$C$6:$C$55,C127,'3_채널별_비용설정'!$D$6:$D$55,"&lt;="&amp;B127,'3_채널별_비용설정'!$O$6:$O$55,"&gt;="&amp;B127)&gt;1,"기간 중복 확인","정상"))))</f>
      </c>
      <c r="K127" s="15" t="str">
        <f>IF(J127="","",IF(J127&lt;&gt;"정상","비용 설정 필요",SUMIFS('3_채널별_비용설정'!$F$6:$F$55,'3_채널별_비용설정'!$C$6:$C$55,C127,'3_채널별_비용설정'!$D$6:$D$55,"&lt;="&amp;B127,'3_채널별_비용설정'!$O$6:$O$55,"&gt;="&amp;B127)))</f>
      </c>
      <c r="L127" s="12" t="str">
        <f>IF(J127="","",IF(J127&lt;&gt;"정상","비용 설정 필요",ROUND(G127*K127,0)))</f>
      </c>
      <c r="M127" s="12" t="str">
        <f>IF(J127="","",IF(J127&lt;&gt;"정상","비용 설정 필요",SUMIFS('3_채널별_비용설정'!$L$6:$L$55,'3_채널별_비용설정'!$C$6:$C$55,C127,'3_채널별_비용설정'!$D$6:$D$55,"&lt;="&amp;B127,'3_채널별_비용설정'!$O$6:$O$55,"&gt;="&amp;B127)))</f>
      </c>
      <c r="N127" s="12" t="str">
        <f>IF(J127="","",IF(J127&lt;&gt;"정상","비용 설정 필요",SUMIFS('3_채널별_비용설정'!$M$6:$M$55,'3_채널별_비용설정'!$C$6:$C$55,C127,'3_채널별_비용설정'!$D$6:$D$55,"&lt;="&amp;B127,'3_채널별_비용설정'!$O$6:$O$55,"&gt;="&amp;B127)))</f>
      </c>
      <c r="O127" s="12" t="str">
        <f>IF(J127="","",IF(J127&lt;&gt;"정상","비용 설정 필요",(D127*M127)+(E127*N127)))</f>
      </c>
      <c r="P127" s="12" t="str">
        <f>IF(J127="","",IF(J127&lt;&gt;"정상","비용 설정 필요",L127+O127+H127))</f>
      </c>
      <c r="Q127" s="13" t="str">
        <f>IF(J127="","",IF(J127&lt;&gt;"정상","비용 설정 필요",G127-P127))</f>
      </c>
      <c r="R127" s="14" t="str">
        <f>IF(J127="","",IF(J127&lt;&gt;"정상","비용 설정 필요",IFERROR(Q127/G127,0)))</f>
      </c>
    </row>
    <row r="128">
      <c r="B128" s="7"/>
      <c r="C128" s="5"/>
      <c r="D128" s="8"/>
      <c r="E128" s="8"/>
      <c r="F128" s="12" t="str">
        <f>IF(AND(B128="",C128=""),"",SUM(D128:E128))</f>
      </c>
      <c r="G128" s="8"/>
      <c r="H128" s="8"/>
      <c r="I128" s="6"/>
      <c r="J128" s="10" t="str">
        <f>IF(AND(B128="",C128=""),"",IF(OR(B128="",C128=""),"비용 설정 필요",IF(COUNTIFS('3_채널별_비용설정'!$C$6:$C$55,C128,'3_채널별_비용설정'!$D$6:$D$55,"&lt;="&amp;B128,'3_채널별_비용설정'!$O$6:$O$55,"&gt;="&amp;B128)=0,"비용 설정 필요",IF(COUNTIFS('3_채널별_비용설정'!$C$6:$C$55,C128,'3_채널별_비용설정'!$D$6:$D$55,"&lt;="&amp;B128,'3_채널별_비용설정'!$O$6:$O$55,"&gt;="&amp;B128)&gt;1,"기간 중복 확인","정상"))))</f>
      </c>
      <c r="K128" s="15" t="str">
        <f>IF(J128="","",IF(J128&lt;&gt;"정상","비용 설정 필요",SUMIFS('3_채널별_비용설정'!$F$6:$F$55,'3_채널별_비용설정'!$C$6:$C$55,C128,'3_채널별_비용설정'!$D$6:$D$55,"&lt;="&amp;B128,'3_채널별_비용설정'!$O$6:$O$55,"&gt;="&amp;B128)))</f>
      </c>
      <c r="L128" s="12" t="str">
        <f>IF(J128="","",IF(J128&lt;&gt;"정상","비용 설정 필요",ROUND(G128*K128,0)))</f>
      </c>
      <c r="M128" s="12" t="str">
        <f>IF(J128="","",IF(J128&lt;&gt;"정상","비용 설정 필요",SUMIFS('3_채널별_비용설정'!$L$6:$L$55,'3_채널별_비용설정'!$C$6:$C$55,C128,'3_채널별_비용설정'!$D$6:$D$55,"&lt;="&amp;B128,'3_채널별_비용설정'!$O$6:$O$55,"&gt;="&amp;B128)))</f>
      </c>
      <c r="N128" s="12" t="str">
        <f>IF(J128="","",IF(J128&lt;&gt;"정상","비용 설정 필요",SUMIFS('3_채널별_비용설정'!$M$6:$M$55,'3_채널별_비용설정'!$C$6:$C$55,C128,'3_채널별_비용설정'!$D$6:$D$55,"&lt;="&amp;B128,'3_채널별_비용설정'!$O$6:$O$55,"&gt;="&amp;B128)))</f>
      </c>
      <c r="O128" s="12" t="str">
        <f>IF(J128="","",IF(J128&lt;&gt;"정상","비용 설정 필요",(D128*M128)+(E128*N128)))</f>
      </c>
      <c r="P128" s="12" t="str">
        <f>IF(J128="","",IF(J128&lt;&gt;"정상","비용 설정 필요",L128+O128+H128))</f>
      </c>
      <c r="Q128" s="13" t="str">
        <f>IF(J128="","",IF(J128&lt;&gt;"정상","비용 설정 필요",G128-P128))</f>
      </c>
      <c r="R128" s="14" t="str">
        <f>IF(J128="","",IF(J128&lt;&gt;"정상","비용 설정 필요",IFERROR(Q128/G128,0)))</f>
      </c>
    </row>
    <row r="129">
      <c r="B129" s="7"/>
      <c r="C129" s="5"/>
      <c r="D129" s="8"/>
      <c r="E129" s="8"/>
      <c r="F129" s="12" t="str">
        <f>IF(AND(B129="",C129=""),"",SUM(D129:E129))</f>
      </c>
      <c r="G129" s="8"/>
      <c r="H129" s="8"/>
      <c r="I129" s="6"/>
      <c r="J129" s="10" t="str">
        <f>IF(AND(B129="",C129=""),"",IF(OR(B129="",C129=""),"비용 설정 필요",IF(COUNTIFS('3_채널별_비용설정'!$C$6:$C$55,C129,'3_채널별_비용설정'!$D$6:$D$55,"&lt;="&amp;B129,'3_채널별_비용설정'!$O$6:$O$55,"&gt;="&amp;B129)=0,"비용 설정 필요",IF(COUNTIFS('3_채널별_비용설정'!$C$6:$C$55,C129,'3_채널별_비용설정'!$D$6:$D$55,"&lt;="&amp;B129,'3_채널별_비용설정'!$O$6:$O$55,"&gt;="&amp;B129)&gt;1,"기간 중복 확인","정상"))))</f>
      </c>
      <c r="K129" s="15" t="str">
        <f>IF(J129="","",IF(J129&lt;&gt;"정상","비용 설정 필요",SUMIFS('3_채널별_비용설정'!$F$6:$F$55,'3_채널별_비용설정'!$C$6:$C$55,C129,'3_채널별_비용설정'!$D$6:$D$55,"&lt;="&amp;B129,'3_채널별_비용설정'!$O$6:$O$55,"&gt;="&amp;B129)))</f>
      </c>
      <c r="L129" s="12" t="str">
        <f>IF(J129="","",IF(J129&lt;&gt;"정상","비용 설정 필요",ROUND(G129*K129,0)))</f>
      </c>
      <c r="M129" s="12" t="str">
        <f>IF(J129="","",IF(J129&lt;&gt;"정상","비용 설정 필요",SUMIFS('3_채널별_비용설정'!$L$6:$L$55,'3_채널별_비용설정'!$C$6:$C$55,C129,'3_채널별_비용설정'!$D$6:$D$55,"&lt;="&amp;B129,'3_채널별_비용설정'!$O$6:$O$55,"&gt;="&amp;B129)))</f>
      </c>
      <c r="N129" s="12" t="str">
        <f>IF(J129="","",IF(J129&lt;&gt;"정상","비용 설정 필요",SUMIFS('3_채널별_비용설정'!$M$6:$M$55,'3_채널별_비용설정'!$C$6:$C$55,C129,'3_채널별_비용설정'!$D$6:$D$55,"&lt;="&amp;B129,'3_채널별_비용설정'!$O$6:$O$55,"&gt;="&amp;B129)))</f>
      </c>
      <c r="O129" s="12" t="str">
        <f>IF(J129="","",IF(J129&lt;&gt;"정상","비용 설정 필요",(D129*M129)+(E129*N129)))</f>
      </c>
      <c r="P129" s="12" t="str">
        <f>IF(J129="","",IF(J129&lt;&gt;"정상","비용 설정 필요",L129+O129+H129))</f>
      </c>
      <c r="Q129" s="13" t="str">
        <f>IF(J129="","",IF(J129&lt;&gt;"정상","비용 설정 필요",G129-P129))</f>
      </c>
      <c r="R129" s="14" t="str">
        <f>IF(J129="","",IF(J129&lt;&gt;"정상","비용 설정 필요",IFERROR(Q129/G129,0)))</f>
      </c>
    </row>
    <row r="130">
      <c r="B130" s="7"/>
      <c r="C130" s="5"/>
      <c r="D130" s="8"/>
      <c r="E130" s="8"/>
      <c r="F130" s="12" t="str">
        <f>IF(AND(B130="",C130=""),"",SUM(D130:E130))</f>
      </c>
      <c r="G130" s="8"/>
      <c r="H130" s="8"/>
      <c r="I130" s="6"/>
      <c r="J130" s="10" t="str">
        <f>IF(AND(B130="",C130=""),"",IF(OR(B130="",C130=""),"비용 설정 필요",IF(COUNTIFS('3_채널별_비용설정'!$C$6:$C$55,C130,'3_채널별_비용설정'!$D$6:$D$55,"&lt;="&amp;B130,'3_채널별_비용설정'!$O$6:$O$55,"&gt;="&amp;B130)=0,"비용 설정 필요",IF(COUNTIFS('3_채널별_비용설정'!$C$6:$C$55,C130,'3_채널별_비용설정'!$D$6:$D$55,"&lt;="&amp;B130,'3_채널별_비용설정'!$O$6:$O$55,"&gt;="&amp;B130)&gt;1,"기간 중복 확인","정상"))))</f>
      </c>
      <c r="K130" s="15" t="str">
        <f>IF(J130="","",IF(J130&lt;&gt;"정상","비용 설정 필요",SUMIFS('3_채널별_비용설정'!$F$6:$F$55,'3_채널별_비용설정'!$C$6:$C$55,C130,'3_채널별_비용설정'!$D$6:$D$55,"&lt;="&amp;B130,'3_채널별_비용설정'!$O$6:$O$55,"&gt;="&amp;B130)))</f>
      </c>
      <c r="L130" s="12" t="str">
        <f>IF(J130="","",IF(J130&lt;&gt;"정상","비용 설정 필요",ROUND(G130*K130,0)))</f>
      </c>
      <c r="M130" s="12" t="str">
        <f>IF(J130="","",IF(J130&lt;&gt;"정상","비용 설정 필요",SUMIFS('3_채널별_비용설정'!$L$6:$L$55,'3_채널별_비용설정'!$C$6:$C$55,C130,'3_채널별_비용설정'!$D$6:$D$55,"&lt;="&amp;B130,'3_채널별_비용설정'!$O$6:$O$55,"&gt;="&amp;B130)))</f>
      </c>
      <c r="N130" s="12" t="str">
        <f>IF(J130="","",IF(J130&lt;&gt;"정상","비용 설정 필요",SUMIFS('3_채널별_비용설정'!$M$6:$M$55,'3_채널별_비용설정'!$C$6:$C$55,C130,'3_채널별_비용설정'!$D$6:$D$55,"&lt;="&amp;B130,'3_채널별_비용설정'!$O$6:$O$55,"&gt;="&amp;B130)))</f>
      </c>
      <c r="O130" s="12" t="str">
        <f>IF(J130="","",IF(J130&lt;&gt;"정상","비용 설정 필요",(D130*M130)+(E130*N130)))</f>
      </c>
      <c r="P130" s="12" t="str">
        <f>IF(J130="","",IF(J130&lt;&gt;"정상","비용 설정 필요",L130+O130+H130))</f>
      </c>
      <c r="Q130" s="13" t="str">
        <f>IF(J130="","",IF(J130&lt;&gt;"정상","비용 설정 필요",G130-P130))</f>
      </c>
      <c r="R130" s="14" t="str">
        <f>IF(J130="","",IF(J130&lt;&gt;"정상","비용 설정 필요",IFERROR(Q130/G130,0)))</f>
      </c>
    </row>
    <row r="131">
      <c r="B131" s="7"/>
      <c r="C131" s="5"/>
      <c r="D131" s="8"/>
      <c r="E131" s="8"/>
      <c r="F131" s="12" t="str">
        <f>IF(AND(B131="",C131=""),"",SUM(D131:E131))</f>
      </c>
      <c r="G131" s="8"/>
      <c r="H131" s="8"/>
      <c r="I131" s="6"/>
      <c r="J131" s="10" t="str">
        <f>IF(AND(B131="",C131=""),"",IF(OR(B131="",C131=""),"비용 설정 필요",IF(COUNTIFS('3_채널별_비용설정'!$C$6:$C$55,C131,'3_채널별_비용설정'!$D$6:$D$55,"&lt;="&amp;B131,'3_채널별_비용설정'!$O$6:$O$55,"&gt;="&amp;B131)=0,"비용 설정 필요",IF(COUNTIFS('3_채널별_비용설정'!$C$6:$C$55,C131,'3_채널별_비용설정'!$D$6:$D$55,"&lt;="&amp;B131,'3_채널별_비용설정'!$O$6:$O$55,"&gt;="&amp;B131)&gt;1,"기간 중복 확인","정상"))))</f>
      </c>
      <c r="K131" s="15" t="str">
        <f>IF(J131="","",IF(J131&lt;&gt;"정상","비용 설정 필요",SUMIFS('3_채널별_비용설정'!$F$6:$F$55,'3_채널별_비용설정'!$C$6:$C$55,C131,'3_채널별_비용설정'!$D$6:$D$55,"&lt;="&amp;B131,'3_채널별_비용설정'!$O$6:$O$55,"&gt;="&amp;B131)))</f>
      </c>
      <c r="L131" s="12" t="str">
        <f>IF(J131="","",IF(J131&lt;&gt;"정상","비용 설정 필요",ROUND(G131*K131,0)))</f>
      </c>
      <c r="M131" s="12" t="str">
        <f>IF(J131="","",IF(J131&lt;&gt;"정상","비용 설정 필요",SUMIFS('3_채널별_비용설정'!$L$6:$L$55,'3_채널별_비용설정'!$C$6:$C$55,C131,'3_채널별_비용설정'!$D$6:$D$55,"&lt;="&amp;B131,'3_채널별_비용설정'!$O$6:$O$55,"&gt;="&amp;B131)))</f>
      </c>
      <c r="N131" s="12" t="str">
        <f>IF(J131="","",IF(J131&lt;&gt;"정상","비용 설정 필요",SUMIFS('3_채널별_비용설정'!$M$6:$M$55,'3_채널별_비용설정'!$C$6:$C$55,C131,'3_채널별_비용설정'!$D$6:$D$55,"&lt;="&amp;B131,'3_채널별_비용설정'!$O$6:$O$55,"&gt;="&amp;B131)))</f>
      </c>
      <c r="O131" s="12" t="str">
        <f>IF(J131="","",IF(J131&lt;&gt;"정상","비용 설정 필요",(D131*M131)+(E131*N131)))</f>
      </c>
      <c r="P131" s="12" t="str">
        <f>IF(J131="","",IF(J131&lt;&gt;"정상","비용 설정 필요",L131+O131+H131))</f>
      </c>
      <c r="Q131" s="13" t="str">
        <f>IF(J131="","",IF(J131&lt;&gt;"정상","비용 설정 필요",G131-P131))</f>
      </c>
      <c r="R131" s="14" t="str">
        <f>IF(J131="","",IF(J131&lt;&gt;"정상","비용 설정 필요",IFERROR(Q131/G131,0)))</f>
      </c>
    </row>
    <row r="132">
      <c r="B132" s="7"/>
      <c r="C132" s="5"/>
      <c r="D132" s="8"/>
      <c r="E132" s="8"/>
      <c r="F132" s="12" t="str">
        <f>IF(AND(B132="",C132=""),"",SUM(D132:E132))</f>
      </c>
      <c r="G132" s="8"/>
      <c r="H132" s="8"/>
      <c r="I132" s="6"/>
      <c r="J132" s="10" t="str">
        <f>IF(AND(B132="",C132=""),"",IF(OR(B132="",C132=""),"비용 설정 필요",IF(COUNTIFS('3_채널별_비용설정'!$C$6:$C$55,C132,'3_채널별_비용설정'!$D$6:$D$55,"&lt;="&amp;B132,'3_채널별_비용설정'!$O$6:$O$55,"&gt;="&amp;B132)=0,"비용 설정 필요",IF(COUNTIFS('3_채널별_비용설정'!$C$6:$C$55,C132,'3_채널별_비용설정'!$D$6:$D$55,"&lt;="&amp;B132,'3_채널별_비용설정'!$O$6:$O$55,"&gt;="&amp;B132)&gt;1,"기간 중복 확인","정상"))))</f>
      </c>
      <c r="K132" s="15" t="str">
        <f>IF(J132="","",IF(J132&lt;&gt;"정상","비용 설정 필요",SUMIFS('3_채널별_비용설정'!$F$6:$F$55,'3_채널별_비용설정'!$C$6:$C$55,C132,'3_채널별_비용설정'!$D$6:$D$55,"&lt;="&amp;B132,'3_채널별_비용설정'!$O$6:$O$55,"&gt;="&amp;B132)))</f>
      </c>
      <c r="L132" s="12" t="str">
        <f>IF(J132="","",IF(J132&lt;&gt;"정상","비용 설정 필요",ROUND(G132*K132,0)))</f>
      </c>
      <c r="M132" s="12" t="str">
        <f>IF(J132="","",IF(J132&lt;&gt;"정상","비용 설정 필요",SUMIFS('3_채널별_비용설정'!$L$6:$L$55,'3_채널별_비용설정'!$C$6:$C$55,C132,'3_채널별_비용설정'!$D$6:$D$55,"&lt;="&amp;B132,'3_채널별_비용설정'!$O$6:$O$55,"&gt;="&amp;B132)))</f>
      </c>
      <c r="N132" s="12" t="str">
        <f>IF(J132="","",IF(J132&lt;&gt;"정상","비용 설정 필요",SUMIFS('3_채널별_비용설정'!$M$6:$M$55,'3_채널별_비용설정'!$C$6:$C$55,C132,'3_채널별_비용설정'!$D$6:$D$55,"&lt;="&amp;B132,'3_채널별_비용설정'!$O$6:$O$55,"&gt;="&amp;B132)))</f>
      </c>
      <c r="O132" s="12" t="str">
        <f>IF(J132="","",IF(J132&lt;&gt;"정상","비용 설정 필요",(D132*M132)+(E132*N132)))</f>
      </c>
      <c r="P132" s="12" t="str">
        <f>IF(J132="","",IF(J132&lt;&gt;"정상","비용 설정 필요",L132+O132+H132))</f>
      </c>
      <c r="Q132" s="13" t="str">
        <f>IF(J132="","",IF(J132&lt;&gt;"정상","비용 설정 필요",G132-P132))</f>
      </c>
      <c r="R132" s="14" t="str">
        <f>IF(J132="","",IF(J132&lt;&gt;"정상","비용 설정 필요",IFERROR(Q132/G132,0)))</f>
      </c>
    </row>
    <row r="133">
      <c r="B133" s="7"/>
      <c r="C133" s="5"/>
      <c r="D133" s="8"/>
      <c r="E133" s="8"/>
      <c r="F133" s="12" t="str">
        <f>IF(AND(B133="",C133=""),"",SUM(D133:E133))</f>
      </c>
      <c r="G133" s="8"/>
      <c r="H133" s="8"/>
      <c r="I133" s="6"/>
      <c r="J133" s="10" t="str">
        <f>IF(AND(B133="",C133=""),"",IF(OR(B133="",C133=""),"비용 설정 필요",IF(COUNTIFS('3_채널별_비용설정'!$C$6:$C$55,C133,'3_채널별_비용설정'!$D$6:$D$55,"&lt;="&amp;B133,'3_채널별_비용설정'!$O$6:$O$55,"&gt;="&amp;B133)=0,"비용 설정 필요",IF(COUNTIFS('3_채널별_비용설정'!$C$6:$C$55,C133,'3_채널별_비용설정'!$D$6:$D$55,"&lt;="&amp;B133,'3_채널별_비용설정'!$O$6:$O$55,"&gt;="&amp;B133)&gt;1,"기간 중복 확인","정상"))))</f>
      </c>
      <c r="K133" s="15" t="str">
        <f>IF(J133="","",IF(J133&lt;&gt;"정상","비용 설정 필요",SUMIFS('3_채널별_비용설정'!$F$6:$F$55,'3_채널별_비용설정'!$C$6:$C$55,C133,'3_채널별_비용설정'!$D$6:$D$55,"&lt;="&amp;B133,'3_채널별_비용설정'!$O$6:$O$55,"&gt;="&amp;B133)))</f>
      </c>
      <c r="L133" s="12" t="str">
        <f>IF(J133="","",IF(J133&lt;&gt;"정상","비용 설정 필요",ROUND(G133*K133,0)))</f>
      </c>
      <c r="M133" s="12" t="str">
        <f>IF(J133="","",IF(J133&lt;&gt;"정상","비용 설정 필요",SUMIFS('3_채널별_비용설정'!$L$6:$L$55,'3_채널별_비용설정'!$C$6:$C$55,C133,'3_채널별_비용설정'!$D$6:$D$55,"&lt;="&amp;B133,'3_채널별_비용설정'!$O$6:$O$55,"&gt;="&amp;B133)))</f>
      </c>
      <c r="N133" s="12" t="str">
        <f>IF(J133="","",IF(J133&lt;&gt;"정상","비용 설정 필요",SUMIFS('3_채널별_비용설정'!$M$6:$M$55,'3_채널별_비용설정'!$C$6:$C$55,C133,'3_채널별_비용설정'!$D$6:$D$55,"&lt;="&amp;B133,'3_채널별_비용설정'!$O$6:$O$55,"&gt;="&amp;B133)))</f>
      </c>
      <c r="O133" s="12" t="str">
        <f>IF(J133="","",IF(J133&lt;&gt;"정상","비용 설정 필요",(D133*M133)+(E133*N133)))</f>
      </c>
      <c r="P133" s="12" t="str">
        <f>IF(J133="","",IF(J133&lt;&gt;"정상","비용 설정 필요",L133+O133+H133))</f>
      </c>
      <c r="Q133" s="13" t="str">
        <f>IF(J133="","",IF(J133&lt;&gt;"정상","비용 설정 필요",G133-P133))</f>
      </c>
      <c r="R133" s="14" t="str">
        <f>IF(J133="","",IF(J133&lt;&gt;"정상","비용 설정 필요",IFERROR(Q133/G133,0)))</f>
      </c>
    </row>
    <row r="134">
      <c r="B134" s="7"/>
      <c r="C134" s="5"/>
      <c r="D134" s="8"/>
      <c r="E134" s="8"/>
      <c r="F134" s="12" t="str">
        <f>IF(AND(B134="",C134=""),"",SUM(D134:E134))</f>
      </c>
      <c r="G134" s="8"/>
      <c r="H134" s="8"/>
      <c r="I134" s="6"/>
      <c r="J134" s="10" t="str">
        <f>IF(AND(B134="",C134=""),"",IF(OR(B134="",C134=""),"비용 설정 필요",IF(COUNTIFS('3_채널별_비용설정'!$C$6:$C$55,C134,'3_채널별_비용설정'!$D$6:$D$55,"&lt;="&amp;B134,'3_채널별_비용설정'!$O$6:$O$55,"&gt;="&amp;B134)=0,"비용 설정 필요",IF(COUNTIFS('3_채널별_비용설정'!$C$6:$C$55,C134,'3_채널별_비용설정'!$D$6:$D$55,"&lt;="&amp;B134,'3_채널별_비용설정'!$O$6:$O$55,"&gt;="&amp;B134)&gt;1,"기간 중복 확인","정상"))))</f>
      </c>
      <c r="K134" s="15" t="str">
        <f>IF(J134="","",IF(J134&lt;&gt;"정상","비용 설정 필요",SUMIFS('3_채널별_비용설정'!$F$6:$F$55,'3_채널별_비용설정'!$C$6:$C$55,C134,'3_채널별_비용설정'!$D$6:$D$55,"&lt;="&amp;B134,'3_채널별_비용설정'!$O$6:$O$55,"&gt;="&amp;B134)))</f>
      </c>
      <c r="L134" s="12" t="str">
        <f>IF(J134="","",IF(J134&lt;&gt;"정상","비용 설정 필요",ROUND(G134*K134,0)))</f>
      </c>
      <c r="M134" s="12" t="str">
        <f>IF(J134="","",IF(J134&lt;&gt;"정상","비용 설정 필요",SUMIFS('3_채널별_비용설정'!$L$6:$L$55,'3_채널별_비용설정'!$C$6:$C$55,C134,'3_채널별_비용설정'!$D$6:$D$55,"&lt;="&amp;B134,'3_채널별_비용설정'!$O$6:$O$55,"&gt;="&amp;B134)))</f>
      </c>
      <c r="N134" s="12" t="str">
        <f>IF(J134="","",IF(J134&lt;&gt;"정상","비용 설정 필요",SUMIFS('3_채널별_비용설정'!$M$6:$M$55,'3_채널별_비용설정'!$C$6:$C$55,C134,'3_채널별_비용설정'!$D$6:$D$55,"&lt;="&amp;B134,'3_채널별_비용설정'!$O$6:$O$55,"&gt;="&amp;B134)))</f>
      </c>
      <c r="O134" s="12" t="str">
        <f>IF(J134="","",IF(J134&lt;&gt;"정상","비용 설정 필요",(D134*M134)+(E134*N134)))</f>
      </c>
      <c r="P134" s="12" t="str">
        <f>IF(J134="","",IF(J134&lt;&gt;"정상","비용 설정 필요",L134+O134+H134))</f>
      </c>
      <c r="Q134" s="13" t="str">
        <f>IF(J134="","",IF(J134&lt;&gt;"정상","비용 설정 필요",G134-P134))</f>
      </c>
      <c r="R134" s="14" t="str">
        <f>IF(J134="","",IF(J134&lt;&gt;"정상","비용 설정 필요",IFERROR(Q134/G134,0)))</f>
      </c>
    </row>
    <row r="135">
      <c r="B135" s="7"/>
      <c r="C135" s="5"/>
      <c r="D135" s="8"/>
      <c r="E135" s="8"/>
      <c r="F135" s="12" t="str">
        <f>IF(AND(B135="",C135=""),"",SUM(D135:E135))</f>
      </c>
      <c r="G135" s="8"/>
      <c r="H135" s="8"/>
      <c r="I135" s="6"/>
      <c r="J135" s="10" t="str">
        <f>IF(AND(B135="",C135=""),"",IF(OR(B135="",C135=""),"비용 설정 필요",IF(COUNTIFS('3_채널별_비용설정'!$C$6:$C$55,C135,'3_채널별_비용설정'!$D$6:$D$55,"&lt;="&amp;B135,'3_채널별_비용설정'!$O$6:$O$55,"&gt;="&amp;B135)=0,"비용 설정 필요",IF(COUNTIFS('3_채널별_비용설정'!$C$6:$C$55,C135,'3_채널별_비용설정'!$D$6:$D$55,"&lt;="&amp;B135,'3_채널별_비용설정'!$O$6:$O$55,"&gt;="&amp;B135)&gt;1,"기간 중복 확인","정상"))))</f>
      </c>
      <c r="K135" s="15" t="str">
        <f>IF(J135="","",IF(J135&lt;&gt;"정상","비용 설정 필요",SUMIFS('3_채널별_비용설정'!$F$6:$F$55,'3_채널별_비용설정'!$C$6:$C$55,C135,'3_채널별_비용설정'!$D$6:$D$55,"&lt;="&amp;B135,'3_채널별_비용설정'!$O$6:$O$55,"&gt;="&amp;B135)))</f>
      </c>
      <c r="L135" s="12" t="str">
        <f>IF(J135="","",IF(J135&lt;&gt;"정상","비용 설정 필요",ROUND(G135*K135,0)))</f>
      </c>
      <c r="M135" s="12" t="str">
        <f>IF(J135="","",IF(J135&lt;&gt;"정상","비용 설정 필요",SUMIFS('3_채널별_비용설정'!$L$6:$L$55,'3_채널별_비용설정'!$C$6:$C$55,C135,'3_채널별_비용설정'!$D$6:$D$55,"&lt;="&amp;B135,'3_채널별_비용설정'!$O$6:$O$55,"&gt;="&amp;B135)))</f>
      </c>
      <c r="N135" s="12" t="str">
        <f>IF(J135="","",IF(J135&lt;&gt;"정상","비용 설정 필요",SUMIFS('3_채널별_비용설정'!$M$6:$M$55,'3_채널별_비용설정'!$C$6:$C$55,C135,'3_채널별_비용설정'!$D$6:$D$55,"&lt;="&amp;B135,'3_채널별_비용설정'!$O$6:$O$55,"&gt;="&amp;B135)))</f>
      </c>
      <c r="O135" s="12" t="str">
        <f>IF(J135="","",IF(J135&lt;&gt;"정상","비용 설정 필요",(D135*M135)+(E135*N135)))</f>
      </c>
      <c r="P135" s="12" t="str">
        <f>IF(J135="","",IF(J135&lt;&gt;"정상","비용 설정 필요",L135+O135+H135))</f>
      </c>
      <c r="Q135" s="13" t="str">
        <f>IF(J135="","",IF(J135&lt;&gt;"정상","비용 설정 필요",G135-P135))</f>
      </c>
      <c r="R135" s="14" t="str">
        <f>IF(J135="","",IF(J135&lt;&gt;"정상","비용 설정 필요",IFERROR(Q135/G135,0)))</f>
      </c>
    </row>
    <row r="136">
      <c r="B136" s="7"/>
      <c r="C136" s="5"/>
      <c r="D136" s="8"/>
      <c r="E136" s="8"/>
      <c r="F136" s="12" t="str">
        <f>IF(AND(B136="",C136=""),"",SUM(D136:E136))</f>
      </c>
      <c r="G136" s="8"/>
      <c r="H136" s="8"/>
      <c r="I136" s="6"/>
      <c r="J136" s="10" t="str">
        <f>IF(AND(B136="",C136=""),"",IF(OR(B136="",C136=""),"비용 설정 필요",IF(COUNTIFS('3_채널별_비용설정'!$C$6:$C$55,C136,'3_채널별_비용설정'!$D$6:$D$55,"&lt;="&amp;B136,'3_채널별_비용설정'!$O$6:$O$55,"&gt;="&amp;B136)=0,"비용 설정 필요",IF(COUNTIFS('3_채널별_비용설정'!$C$6:$C$55,C136,'3_채널별_비용설정'!$D$6:$D$55,"&lt;="&amp;B136,'3_채널별_비용설정'!$O$6:$O$55,"&gt;="&amp;B136)&gt;1,"기간 중복 확인","정상"))))</f>
      </c>
      <c r="K136" s="15" t="str">
        <f>IF(J136="","",IF(J136&lt;&gt;"정상","비용 설정 필요",SUMIFS('3_채널별_비용설정'!$F$6:$F$55,'3_채널별_비용설정'!$C$6:$C$55,C136,'3_채널별_비용설정'!$D$6:$D$55,"&lt;="&amp;B136,'3_채널별_비용설정'!$O$6:$O$55,"&gt;="&amp;B136)))</f>
      </c>
      <c r="L136" s="12" t="str">
        <f>IF(J136="","",IF(J136&lt;&gt;"정상","비용 설정 필요",ROUND(G136*K136,0)))</f>
      </c>
      <c r="M136" s="12" t="str">
        <f>IF(J136="","",IF(J136&lt;&gt;"정상","비용 설정 필요",SUMIFS('3_채널별_비용설정'!$L$6:$L$55,'3_채널별_비용설정'!$C$6:$C$55,C136,'3_채널별_비용설정'!$D$6:$D$55,"&lt;="&amp;B136,'3_채널별_비용설정'!$O$6:$O$55,"&gt;="&amp;B136)))</f>
      </c>
      <c r="N136" s="12" t="str">
        <f>IF(J136="","",IF(J136&lt;&gt;"정상","비용 설정 필요",SUMIFS('3_채널별_비용설정'!$M$6:$M$55,'3_채널별_비용설정'!$C$6:$C$55,C136,'3_채널별_비용설정'!$D$6:$D$55,"&lt;="&amp;B136,'3_채널별_비용설정'!$O$6:$O$55,"&gt;="&amp;B136)))</f>
      </c>
      <c r="O136" s="12" t="str">
        <f>IF(J136="","",IF(J136&lt;&gt;"정상","비용 설정 필요",(D136*M136)+(E136*N136)))</f>
      </c>
      <c r="P136" s="12" t="str">
        <f>IF(J136="","",IF(J136&lt;&gt;"정상","비용 설정 필요",L136+O136+H136))</f>
      </c>
      <c r="Q136" s="13" t="str">
        <f>IF(J136="","",IF(J136&lt;&gt;"정상","비용 설정 필요",G136-P136))</f>
      </c>
      <c r="R136" s="14" t="str">
        <f>IF(J136="","",IF(J136&lt;&gt;"정상","비용 설정 필요",IFERROR(Q136/G136,0)))</f>
      </c>
    </row>
    <row r="137">
      <c r="B137" s="7"/>
      <c r="C137" s="5"/>
      <c r="D137" s="8"/>
      <c r="E137" s="8"/>
      <c r="F137" s="12" t="str">
        <f>IF(AND(B137="",C137=""),"",SUM(D137:E137))</f>
      </c>
      <c r="G137" s="8"/>
      <c r="H137" s="8"/>
      <c r="I137" s="6"/>
      <c r="J137" s="10" t="str">
        <f>IF(AND(B137="",C137=""),"",IF(OR(B137="",C137=""),"비용 설정 필요",IF(COUNTIFS('3_채널별_비용설정'!$C$6:$C$55,C137,'3_채널별_비용설정'!$D$6:$D$55,"&lt;="&amp;B137,'3_채널별_비용설정'!$O$6:$O$55,"&gt;="&amp;B137)=0,"비용 설정 필요",IF(COUNTIFS('3_채널별_비용설정'!$C$6:$C$55,C137,'3_채널별_비용설정'!$D$6:$D$55,"&lt;="&amp;B137,'3_채널별_비용설정'!$O$6:$O$55,"&gt;="&amp;B137)&gt;1,"기간 중복 확인","정상"))))</f>
      </c>
      <c r="K137" s="15" t="str">
        <f>IF(J137="","",IF(J137&lt;&gt;"정상","비용 설정 필요",SUMIFS('3_채널별_비용설정'!$F$6:$F$55,'3_채널별_비용설정'!$C$6:$C$55,C137,'3_채널별_비용설정'!$D$6:$D$55,"&lt;="&amp;B137,'3_채널별_비용설정'!$O$6:$O$55,"&gt;="&amp;B137)))</f>
      </c>
      <c r="L137" s="12" t="str">
        <f>IF(J137="","",IF(J137&lt;&gt;"정상","비용 설정 필요",ROUND(G137*K137,0)))</f>
      </c>
      <c r="M137" s="12" t="str">
        <f>IF(J137="","",IF(J137&lt;&gt;"정상","비용 설정 필요",SUMIFS('3_채널별_비용설정'!$L$6:$L$55,'3_채널별_비용설정'!$C$6:$C$55,C137,'3_채널별_비용설정'!$D$6:$D$55,"&lt;="&amp;B137,'3_채널별_비용설정'!$O$6:$O$55,"&gt;="&amp;B137)))</f>
      </c>
      <c r="N137" s="12" t="str">
        <f>IF(J137="","",IF(J137&lt;&gt;"정상","비용 설정 필요",SUMIFS('3_채널별_비용설정'!$M$6:$M$55,'3_채널별_비용설정'!$C$6:$C$55,C137,'3_채널별_비용설정'!$D$6:$D$55,"&lt;="&amp;B137,'3_채널별_비용설정'!$O$6:$O$55,"&gt;="&amp;B137)))</f>
      </c>
      <c r="O137" s="12" t="str">
        <f>IF(J137="","",IF(J137&lt;&gt;"정상","비용 설정 필요",(D137*M137)+(E137*N137)))</f>
      </c>
      <c r="P137" s="12" t="str">
        <f>IF(J137="","",IF(J137&lt;&gt;"정상","비용 설정 필요",L137+O137+H137))</f>
      </c>
      <c r="Q137" s="13" t="str">
        <f>IF(J137="","",IF(J137&lt;&gt;"정상","비용 설정 필요",G137-P137))</f>
      </c>
      <c r="R137" s="14" t="str">
        <f>IF(J137="","",IF(J137&lt;&gt;"정상","비용 설정 필요",IFERROR(Q137/G137,0)))</f>
      </c>
    </row>
    <row r="138">
      <c r="B138" s="7"/>
      <c r="C138" s="5"/>
      <c r="D138" s="8"/>
      <c r="E138" s="8"/>
      <c r="F138" s="12" t="str">
        <f>IF(AND(B138="",C138=""),"",SUM(D138:E138))</f>
      </c>
      <c r="G138" s="8"/>
      <c r="H138" s="8"/>
      <c r="I138" s="6"/>
      <c r="J138" s="10" t="str">
        <f>IF(AND(B138="",C138=""),"",IF(OR(B138="",C138=""),"비용 설정 필요",IF(COUNTIFS('3_채널별_비용설정'!$C$6:$C$55,C138,'3_채널별_비용설정'!$D$6:$D$55,"&lt;="&amp;B138,'3_채널별_비용설정'!$O$6:$O$55,"&gt;="&amp;B138)=0,"비용 설정 필요",IF(COUNTIFS('3_채널별_비용설정'!$C$6:$C$55,C138,'3_채널별_비용설정'!$D$6:$D$55,"&lt;="&amp;B138,'3_채널별_비용설정'!$O$6:$O$55,"&gt;="&amp;B138)&gt;1,"기간 중복 확인","정상"))))</f>
      </c>
      <c r="K138" s="15" t="str">
        <f>IF(J138="","",IF(J138&lt;&gt;"정상","비용 설정 필요",SUMIFS('3_채널별_비용설정'!$F$6:$F$55,'3_채널별_비용설정'!$C$6:$C$55,C138,'3_채널별_비용설정'!$D$6:$D$55,"&lt;="&amp;B138,'3_채널별_비용설정'!$O$6:$O$55,"&gt;="&amp;B138)))</f>
      </c>
      <c r="L138" s="12" t="str">
        <f>IF(J138="","",IF(J138&lt;&gt;"정상","비용 설정 필요",ROUND(G138*K138,0)))</f>
      </c>
      <c r="M138" s="12" t="str">
        <f>IF(J138="","",IF(J138&lt;&gt;"정상","비용 설정 필요",SUMIFS('3_채널별_비용설정'!$L$6:$L$55,'3_채널별_비용설정'!$C$6:$C$55,C138,'3_채널별_비용설정'!$D$6:$D$55,"&lt;="&amp;B138,'3_채널별_비용설정'!$O$6:$O$55,"&gt;="&amp;B138)))</f>
      </c>
      <c r="N138" s="12" t="str">
        <f>IF(J138="","",IF(J138&lt;&gt;"정상","비용 설정 필요",SUMIFS('3_채널별_비용설정'!$M$6:$M$55,'3_채널별_비용설정'!$C$6:$C$55,C138,'3_채널별_비용설정'!$D$6:$D$55,"&lt;="&amp;B138,'3_채널별_비용설정'!$O$6:$O$55,"&gt;="&amp;B138)))</f>
      </c>
      <c r="O138" s="12" t="str">
        <f>IF(J138="","",IF(J138&lt;&gt;"정상","비용 설정 필요",(D138*M138)+(E138*N138)))</f>
      </c>
      <c r="P138" s="12" t="str">
        <f>IF(J138="","",IF(J138&lt;&gt;"정상","비용 설정 필요",L138+O138+H138))</f>
      </c>
      <c r="Q138" s="13" t="str">
        <f>IF(J138="","",IF(J138&lt;&gt;"정상","비용 설정 필요",G138-P138))</f>
      </c>
      <c r="R138" s="14" t="str">
        <f>IF(J138="","",IF(J138&lt;&gt;"정상","비용 설정 필요",IFERROR(Q138/G138,0)))</f>
      </c>
    </row>
    <row r="139">
      <c r="B139" s="7"/>
      <c r="C139" s="5"/>
      <c r="D139" s="8"/>
      <c r="E139" s="8"/>
      <c r="F139" s="12" t="str">
        <f>IF(AND(B139="",C139=""),"",SUM(D139:E139))</f>
      </c>
      <c r="G139" s="8"/>
      <c r="H139" s="8"/>
      <c r="I139" s="6"/>
      <c r="J139" s="10" t="str">
        <f>IF(AND(B139="",C139=""),"",IF(OR(B139="",C139=""),"비용 설정 필요",IF(COUNTIFS('3_채널별_비용설정'!$C$6:$C$55,C139,'3_채널별_비용설정'!$D$6:$D$55,"&lt;="&amp;B139,'3_채널별_비용설정'!$O$6:$O$55,"&gt;="&amp;B139)=0,"비용 설정 필요",IF(COUNTIFS('3_채널별_비용설정'!$C$6:$C$55,C139,'3_채널별_비용설정'!$D$6:$D$55,"&lt;="&amp;B139,'3_채널별_비용설정'!$O$6:$O$55,"&gt;="&amp;B139)&gt;1,"기간 중복 확인","정상"))))</f>
      </c>
      <c r="K139" s="15" t="str">
        <f>IF(J139="","",IF(J139&lt;&gt;"정상","비용 설정 필요",SUMIFS('3_채널별_비용설정'!$F$6:$F$55,'3_채널별_비용설정'!$C$6:$C$55,C139,'3_채널별_비용설정'!$D$6:$D$55,"&lt;="&amp;B139,'3_채널별_비용설정'!$O$6:$O$55,"&gt;="&amp;B139)))</f>
      </c>
      <c r="L139" s="12" t="str">
        <f>IF(J139="","",IF(J139&lt;&gt;"정상","비용 설정 필요",ROUND(G139*K139,0)))</f>
      </c>
      <c r="M139" s="12" t="str">
        <f>IF(J139="","",IF(J139&lt;&gt;"정상","비용 설정 필요",SUMIFS('3_채널별_비용설정'!$L$6:$L$55,'3_채널별_비용설정'!$C$6:$C$55,C139,'3_채널별_비용설정'!$D$6:$D$55,"&lt;="&amp;B139,'3_채널별_비용설정'!$O$6:$O$55,"&gt;="&amp;B139)))</f>
      </c>
      <c r="N139" s="12" t="str">
        <f>IF(J139="","",IF(J139&lt;&gt;"정상","비용 설정 필요",SUMIFS('3_채널별_비용설정'!$M$6:$M$55,'3_채널별_비용설정'!$C$6:$C$55,C139,'3_채널별_비용설정'!$D$6:$D$55,"&lt;="&amp;B139,'3_채널별_비용설정'!$O$6:$O$55,"&gt;="&amp;B139)))</f>
      </c>
      <c r="O139" s="12" t="str">
        <f>IF(J139="","",IF(J139&lt;&gt;"정상","비용 설정 필요",(D139*M139)+(E139*N139)))</f>
      </c>
      <c r="P139" s="12" t="str">
        <f>IF(J139="","",IF(J139&lt;&gt;"정상","비용 설정 필요",L139+O139+H139))</f>
      </c>
      <c r="Q139" s="13" t="str">
        <f>IF(J139="","",IF(J139&lt;&gt;"정상","비용 설정 필요",G139-P139))</f>
      </c>
      <c r="R139" s="14" t="str">
        <f>IF(J139="","",IF(J139&lt;&gt;"정상","비용 설정 필요",IFERROR(Q139/G139,0)))</f>
      </c>
    </row>
    <row r="140">
      <c r="B140" s="7"/>
      <c r="C140" s="5"/>
      <c r="D140" s="8"/>
      <c r="E140" s="8"/>
      <c r="F140" s="12" t="str">
        <f>IF(AND(B140="",C140=""),"",SUM(D140:E140))</f>
      </c>
      <c r="G140" s="8"/>
      <c r="H140" s="8"/>
      <c r="I140" s="6"/>
      <c r="J140" s="10" t="str">
        <f>IF(AND(B140="",C140=""),"",IF(OR(B140="",C140=""),"비용 설정 필요",IF(COUNTIFS('3_채널별_비용설정'!$C$6:$C$55,C140,'3_채널별_비용설정'!$D$6:$D$55,"&lt;="&amp;B140,'3_채널별_비용설정'!$O$6:$O$55,"&gt;="&amp;B140)=0,"비용 설정 필요",IF(COUNTIFS('3_채널별_비용설정'!$C$6:$C$55,C140,'3_채널별_비용설정'!$D$6:$D$55,"&lt;="&amp;B140,'3_채널별_비용설정'!$O$6:$O$55,"&gt;="&amp;B140)&gt;1,"기간 중복 확인","정상"))))</f>
      </c>
      <c r="K140" s="15" t="str">
        <f>IF(J140="","",IF(J140&lt;&gt;"정상","비용 설정 필요",SUMIFS('3_채널별_비용설정'!$F$6:$F$55,'3_채널별_비용설정'!$C$6:$C$55,C140,'3_채널별_비용설정'!$D$6:$D$55,"&lt;="&amp;B140,'3_채널별_비용설정'!$O$6:$O$55,"&gt;="&amp;B140)))</f>
      </c>
      <c r="L140" s="12" t="str">
        <f>IF(J140="","",IF(J140&lt;&gt;"정상","비용 설정 필요",ROUND(G140*K140,0)))</f>
      </c>
      <c r="M140" s="12" t="str">
        <f>IF(J140="","",IF(J140&lt;&gt;"정상","비용 설정 필요",SUMIFS('3_채널별_비용설정'!$L$6:$L$55,'3_채널별_비용설정'!$C$6:$C$55,C140,'3_채널별_비용설정'!$D$6:$D$55,"&lt;="&amp;B140,'3_채널별_비용설정'!$O$6:$O$55,"&gt;="&amp;B140)))</f>
      </c>
      <c r="N140" s="12" t="str">
        <f>IF(J140="","",IF(J140&lt;&gt;"정상","비용 설정 필요",SUMIFS('3_채널별_비용설정'!$M$6:$M$55,'3_채널별_비용설정'!$C$6:$C$55,C140,'3_채널별_비용설정'!$D$6:$D$55,"&lt;="&amp;B140,'3_채널별_비용설정'!$O$6:$O$55,"&gt;="&amp;B140)))</f>
      </c>
      <c r="O140" s="12" t="str">
        <f>IF(J140="","",IF(J140&lt;&gt;"정상","비용 설정 필요",(D140*M140)+(E140*N140)))</f>
      </c>
      <c r="P140" s="12" t="str">
        <f>IF(J140="","",IF(J140&lt;&gt;"정상","비용 설정 필요",L140+O140+H140))</f>
      </c>
      <c r="Q140" s="13" t="str">
        <f>IF(J140="","",IF(J140&lt;&gt;"정상","비용 설정 필요",G140-P140))</f>
      </c>
      <c r="R140" s="14" t="str">
        <f>IF(J140="","",IF(J140&lt;&gt;"정상","비용 설정 필요",IFERROR(Q140/G140,0)))</f>
      </c>
    </row>
    <row r="141">
      <c r="B141" s="7"/>
      <c r="C141" s="5"/>
      <c r="D141" s="8"/>
      <c r="E141" s="8"/>
      <c r="F141" s="12" t="str">
        <f>IF(AND(B141="",C141=""),"",SUM(D141:E141))</f>
      </c>
      <c r="G141" s="8"/>
      <c r="H141" s="8"/>
      <c r="I141" s="6"/>
      <c r="J141" s="10" t="str">
        <f>IF(AND(B141="",C141=""),"",IF(OR(B141="",C141=""),"비용 설정 필요",IF(COUNTIFS('3_채널별_비용설정'!$C$6:$C$55,C141,'3_채널별_비용설정'!$D$6:$D$55,"&lt;="&amp;B141,'3_채널별_비용설정'!$O$6:$O$55,"&gt;="&amp;B141)=0,"비용 설정 필요",IF(COUNTIFS('3_채널별_비용설정'!$C$6:$C$55,C141,'3_채널별_비용설정'!$D$6:$D$55,"&lt;="&amp;B141,'3_채널별_비용설정'!$O$6:$O$55,"&gt;="&amp;B141)&gt;1,"기간 중복 확인","정상"))))</f>
      </c>
      <c r="K141" s="15" t="str">
        <f>IF(J141="","",IF(J141&lt;&gt;"정상","비용 설정 필요",SUMIFS('3_채널별_비용설정'!$F$6:$F$55,'3_채널별_비용설정'!$C$6:$C$55,C141,'3_채널별_비용설정'!$D$6:$D$55,"&lt;="&amp;B141,'3_채널별_비용설정'!$O$6:$O$55,"&gt;="&amp;B141)))</f>
      </c>
      <c r="L141" s="12" t="str">
        <f>IF(J141="","",IF(J141&lt;&gt;"정상","비용 설정 필요",ROUND(G141*K141,0)))</f>
      </c>
      <c r="M141" s="12" t="str">
        <f>IF(J141="","",IF(J141&lt;&gt;"정상","비용 설정 필요",SUMIFS('3_채널별_비용설정'!$L$6:$L$55,'3_채널별_비용설정'!$C$6:$C$55,C141,'3_채널별_비용설정'!$D$6:$D$55,"&lt;="&amp;B141,'3_채널별_비용설정'!$O$6:$O$55,"&gt;="&amp;B141)))</f>
      </c>
      <c r="N141" s="12" t="str">
        <f>IF(J141="","",IF(J141&lt;&gt;"정상","비용 설정 필요",SUMIFS('3_채널별_비용설정'!$M$6:$M$55,'3_채널별_비용설정'!$C$6:$C$55,C141,'3_채널별_비용설정'!$D$6:$D$55,"&lt;="&amp;B141,'3_채널별_비용설정'!$O$6:$O$55,"&gt;="&amp;B141)))</f>
      </c>
      <c r="O141" s="12" t="str">
        <f>IF(J141="","",IF(J141&lt;&gt;"정상","비용 설정 필요",(D141*M141)+(E141*N141)))</f>
      </c>
      <c r="P141" s="12" t="str">
        <f>IF(J141="","",IF(J141&lt;&gt;"정상","비용 설정 필요",L141+O141+H141))</f>
      </c>
      <c r="Q141" s="13" t="str">
        <f>IF(J141="","",IF(J141&lt;&gt;"정상","비용 설정 필요",G141-P141))</f>
      </c>
      <c r="R141" s="14" t="str">
        <f>IF(J141="","",IF(J141&lt;&gt;"정상","비용 설정 필요",IFERROR(Q141/G141,0)))</f>
      </c>
    </row>
    <row r="142">
      <c r="B142" s="7"/>
      <c r="C142" s="5"/>
      <c r="D142" s="8"/>
      <c r="E142" s="8"/>
      <c r="F142" s="12" t="str">
        <f>IF(AND(B142="",C142=""),"",SUM(D142:E142))</f>
      </c>
      <c r="G142" s="8"/>
      <c r="H142" s="8"/>
      <c r="I142" s="6"/>
      <c r="J142" s="10" t="str">
        <f>IF(AND(B142="",C142=""),"",IF(OR(B142="",C142=""),"비용 설정 필요",IF(COUNTIFS('3_채널별_비용설정'!$C$6:$C$55,C142,'3_채널별_비용설정'!$D$6:$D$55,"&lt;="&amp;B142,'3_채널별_비용설정'!$O$6:$O$55,"&gt;="&amp;B142)=0,"비용 설정 필요",IF(COUNTIFS('3_채널별_비용설정'!$C$6:$C$55,C142,'3_채널별_비용설정'!$D$6:$D$55,"&lt;="&amp;B142,'3_채널별_비용설정'!$O$6:$O$55,"&gt;="&amp;B142)&gt;1,"기간 중복 확인","정상"))))</f>
      </c>
      <c r="K142" s="15" t="str">
        <f>IF(J142="","",IF(J142&lt;&gt;"정상","비용 설정 필요",SUMIFS('3_채널별_비용설정'!$F$6:$F$55,'3_채널별_비용설정'!$C$6:$C$55,C142,'3_채널별_비용설정'!$D$6:$D$55,"&lt;="&amp;B142,'3_채널별_비용설정'!$O$6:$O$55,"&gt;="&amp;B142)))</f>
      </c>
      <c r="L142" s="12" t="str">
        <f>IF(J142="","",IF(J142&lt;&gt;"정상","비용 설정 필요",ROUND(G142*K142,0)))</f>
      </c>
      <c r="M142" s="12" t="str">
        <f>IF(J142="","",IF(J142&lt;&gt;"정상","비용 설정 필요",SUMIFS('3_채널별_비용설정'!$L$6:$L$55,'3_채널별_비용설정'!$C$6:$C$55,C142,'3_채널별_비용설정'!$D$6:$D$55,"&lt;="&amp;B142,'3_채널별_비용설정'!$O$6:$O$55,"&gt;="&amp;B142)))</f>
      </c>
      <c r="N142" s="12" t="str">
        <f>IF(J142="","",IF(J142&lt;&gt;"정상","비용 설정 필요",SUMIFS('3_채널별_비용설정'!$M$6:$M$55,'3_채널별_비용설정'!$C$6:$C$55,C142,'3_채널별_비용설정'!$D$6:$D$55,"&lt;="&amp;B142,'3_채널별_비용설정'!$O$6:$O$55,"&gt;="&amp;B142)))</f>
      </c>
      <c r="O142" s="12" t="str">
        <f>IF(J142="","",IF(J142&lt;&gt;"정상","비용 설정 필요",(D142*M142)+(E142*N142)))</f>
      </c>
      <c r="P142" s="12" t="str">
        <f>IF(J142="","",IF(J142&lt;&gt;"정상","비용 설정 필요",L142+O142+H142))</f>
      </c>
      <c r="Q142" s="13" t="str">
        <f>IF(J142="","",IF(J142&lt;&gt;"정상","비용 설정 필요",G142-P142))</f>
      </c>
      <c r="R142" s="14" t="str">
        <f>IF(J142="","",IF(J142&lt;&gt;"정상","비용 설정 필요",IFERROR(Q142/G142,0)))</f>
      </c>
    </row>
    <row r="143">
      <c r="B143" s="7"/>
      <c r="C143" s="5"/>
      <c r="D143" s="8"/>
      <c r="E143" s="8"/>
      <c r="F143" s="12" t="str">
        <f>IF(AND(B143="",C143=""),"",SUM(D143:E143))</f>
      </c>
      <c r="G143" s="8"/>
      <c r="H143" s="8"/>
      <c r="I143" s="6"/>
      <c r="J143" s="10" t="str">
        <f>IF(AND(B143="",C143=""),"",IF(OR(B143="",C143=""),"비용 설정 필요",IF(COUNTIFS('3_채널별_비용설정'!$C$6:$C$55,C143,'3_채널별_비용설정'!$D$6:$D$55,"&lt;="&amp;B143,'3_채널별_비용설정'!$O$6:$O$55,"&gt;="&amp;B143)=0,"비용 설정 필요",IF(COUNTIFS('3_채널별_비용설정'!$C$6:$C$55,C143,'3_채널별_비용설정'!$D$6:$D$55,"&lt;="&amp;B143,'3_채널별_비용설정'!$O$6:$O$55,"&gt;="&amp;B143)&gt;1,"기간 중복 확인","정상"))))</f>
      </c>
      <c r="K143" s="15" t="str">
        <f>IF(J143="","",IF(J143&lt;&gt;"정상","비용 설정 필요",SUMIFS('3_채널별_비용설정'!$F$6:$F$55,'3_채널별_비용설정'!$C$6:$C$55,C143,'3_채널별_비용설정'!$D$6:$D$55,"&lt;="&amp;B143,'3_채널별_비용설정'!$O$6:$O$55,"&gt;="&amp;B143)))</f>
      </c>
      <c r="L143" s="12" t="str">
        <f>IF(J143="","",IF(J143&lt;&gt;"정상","비용 설정 필요",ROUND(G143*K143,0)))</f>
      </c>
      <c r="M143" s="12" t="str">
        <f>IF(J143="","",IF(J143&lt;&gt;"정상","비용 설정 필요",SUMIFS('3_채널별_비용설정'!$L$6:$L$55,'3_채널별_비용설정'!$C$6:$C$55,C143,'3_채널별_비용설정'!$D$6:$D$55,"&lt;="&amp;B143,'3_채널별_비용설정'!$O$6:$O$55,"&gt;="&amp;B143)))</f>
      </c>
      <c r="N143" s="12" t="str">
        <f>IF(J143="","",IF(J143&lt;&gt;"정상","비용 설정 필요",SUMIFS('3_채널별_비용설정'!$M$6:$M$55,'3_채널별_비용설정'!$C$6:$C$55,C143,'3_채널별_비용설정'!$D$6:$D$55,"&lt;="&amp;B143,'3_채널별_비용설정'!$O$6:$O$55,"&gt;="&amp;B143)))</f>
      </c>
      <c r="O143" s="12" t="str">
        <f>IF(J143="","",IF(J143&lt;&gt;"정상","비용 설정 필요",(D143*M143)+(E143*N143)))</f>
      </c>
      <c r="P143" s="12" t="str">
        <f>IF(J143="","",IF(J143&lt;&gt;"정상","비용 설정 필요",L143+O143+H143))</f>
      </c>
      <c r="Q143" s="13" t="str">
        <f>IF(J143="","",IF(J143&lt;&gt;"정상","비용 설정 필요",G143-P143))</f>
      </c>
      <c r="R143" s="14" t="str">
        <f>IF(J143="","",IF(J143&lt;&gt;"정상","비용 설정 필요",IFERROR(Q143/G143,0)))</f>
      </c>
    </row>
    <row r="144">
      <c r="B144" s="7"/>
      <c r="C144" s="5"/>
      <c r="D144" s="8"/>
      <c r="E144" s="8"/>
      <c r="F144" s="12" t="str">
        <f>IF(AND(B144="",C144=""),"",SUM(D144:E144))</f>
      </c>
      <c r="G144" s="8"/>
      <c r="H144" s="8"/>
      <c r="I144" s="6"/>
      <c r="J144" s="10" t="str">
        <f>IF(AND(B144="",C144=""),"",IF(OR(B144="",C144=""),"비용 설정 필요",IF(COUNTIFS('3_채널별_비용설정'!$C$6:$C$55,C144,'3_채널별_비용설정'!$D$6:$D$55,"&lt;="&amp;B144,'3_채널별_비용설정'!$O$6:$O$55,"&gt;="&amp;B144)=0,"비용 설정 필요",IF(COUNTIFS('3_채널별_비용설정'!$C$6:$C$55,C144,'3_채널별_비용설정'!$D$6:$D$55,"&lt;="&amp;B144,'3_채널별_비용설정'!$O$6:$O$55,"&gt;="&amp;B144)&gt;1,"기간 중복 확인","정상"))))</f>
      </c>
      <c r="K144" s="15" t="str">
        <f>IF(J144="","",IF(J144&lt;&gt;"정상","비용 설정 필요",SUMIFS('3_채널별_비용설정'!$F$6:$F$55,'3_채널별_비용설정'!$C$6:$C$55,C144,'3_채널별_비용설정'!$D$6:$D$55,"&lt;="&amp;B144,'3_채널별_비용설정'!$O$6:$O$55,"&gt;="&amp;B144)))</f>
      </c>
      <c r="L144" s="12" t="str">
        <f>IF(J144="","",IF(J144&lt;&gt;"정상","비용 설정 필요",ROUND(G144*K144,0)))</f>
      </c>
      <c r="M144" s="12" t="str">
        <f>IF(J144="","",IF(J144&lt;&gt;"정상","비용 설정 필요",SUMIFS('3_채널별_비용설정'!$L$6:$L$55,'3_채널별_비용설정'!$C$6:$C$55,C144,'3_채널별_비용설정'!$D$6:$D$55,"&lt;="&amp;B144,'3_채널별_비용설정'!$O$6:$O$55,"&gt;="&amp;B144)))</f>
      </c>
      <c r="N144" s="12" t="str">
        <f>IF(J144="","",IF(J144&lt;&gt;"정상","비용 설정 필요",SUMIFS('3_채널별_비용설정'!$M$6:$M$55,'3_채널별_비용설정'!$C$6:$C$55,C144,'3_채널별_비용설정'!$D$6:$D$55,"&lt;="&amp;B144,'3_채널별_비용설정'!$O$6:$O$55,"&gt;="&amp;B144)))</f>
      </c>
      <c r="O144" s="12" t="str">
        <f>IF(J144="","",IF(J144&lt;&gt;"정상","비용 설정 필요",(D144*M144)+(E144*N144)))</f>
      </c>
      <c r="P144" s="12" t="str">
        <f>IF(J144="","",IF(J144&lt;&gt;"정상","비용 설정 필요",L144+O144+H144))</f>
      </c>
      <c r="Q144" s="13" t="str">
        <f>IF(J144="","",IF(J144&lt;&gt;"정상","비용 설정 필요",G144-P144))</f>
      </c>
      <c r="R144" s="14" t="str">
        <f>IF(J144="","",IF(J144&lt;&gt;"정상","비용 설정 필요",IFERROR(Q144/G144,0)))</f>
      </c>
    </row>
    <row r="145">
      <c r="B145" s="7"/>
      <c r="C145" s="5"/>
      <c r="D145" s="8"/>
      <c r="E145" s="8"/>
      <c r="F145" s="12" t="str">
        <f>IF(AND(B145="",C145=""),"",SUM(D145:E145))</f>
      </c>
      <c r="G145" s="8"/>
      <c r="H145" s="8"/>
      <c r="I145" s="6"/>
      <c r="J145" s="10" t="str">
        <f>IF(AND(B145="",C145=""),"",IF(OR(B145="",C145=""),"비용 설정 필요",IF(COUNTIFS('3_채널별_비용설정'!$C$6:$C$55,C145,'3_채널별_비용설정'!$D$6:$D$55,"&lt;="&amp;B145,'3_채널별_비용설정'!$O$6:$O$55,"&gt;="&amp;B145)=0,"비용 설정 필요",IF(COUNTIFS('3_채널별_비용설정'!$C$6:$C$55,C145,'3_채널별_비용설정'!$D$6:$D$55,"&lt;="&amp;B145,'3_채널별_비용설정'!$O$6:$O$55,"&gt;="&amp;B145)&gt;1,"기간 중복 확인","정상"))))</f>
      </c>
      <c r="K145" s="15" t="str">
        <f>IF(J145="","",IF(J145&lt;&gt;"정상","비용 설정 필요",SUMIFS('3_채널별_비용설정'!$F$6:$F$55,'3_채널별_비용설정'!$C$6:$C$55,C145,'3_채널별_비용설정'!$D$6:$D$55,"&lt;="&amp;B145,'3_채널별_비용설정'!$O$6:$O$55,"&gt;="&amp;B145)))</f>
      </c>
      <c r="L145" s="12" t="str">
        <f>IF(J145="","",IF(J145&lt;&gt;"정상","비용 설정 필요",ROUND(G145*K145,0)))</f>
      </c>
      <c r="M145" s="12" t="str">
        <f>IF(J145="","",IF(J145&lt;&gt;"정상","비용 설정 필요",SUMIFS('3_채널별_비용설정'!$L$6:$L$55,'3_채널별_비용설정'!$C$6:$C$55,C145,'3_채널별_비용설정'!$D$6:$D$55,"&lt;="&amp;B145,'3_채널별_비용설정'!$O$6:$O$55,"&gt;="&amp;B145)))</f>
      </c>
      <c r="N145" s="12" t="str">
        <f>IF(J145="","",IF(J145&lt;&gt;"정상","비용 설정 필요",SUMIFS('3_채널별_비용설정'!$M$6:$M$55,'3_채널별_비용설정'!$C$6:$C$55,C145,'3_채널별_비용설정'!$D$6:$D$55,"&lt;="&amp;B145,'3_채널별_비용설정'!$O$6:$O$55,"&gt;="&amp;B145)))</f>
      </c>
      <c r="O145" s="12" t="str">
        <f>IF(J145="","",IF(J145&lt;&gt;"정상","비용 설정 필요",(D145*M145)+(E145*N145)))</f>
      </c>
      <c r="P145" s="12" t="str">
        <f>IF(J145="","",IF(J145&lt;&gt;"정상","비용 설정 필요",L145+O145+H145))</f>
      </c>
      <c r="Q145" s="13" t="str">
        <f>IF(J145="","",IF(J145&lt;&gt;"정상","비용 설정 필요",G145-P145))</f>
      </c>
      <c r="R145" s="14" t="str">
        <f>IF(J145="","",IF(J145&lt;&gt;"정상","비용 설정 필요",IFERROR(Q145/G145,0)))</f>
      </c>
    </row>
    <row r="146">
      <c r="B146" s="7"/>
      <c r="C146" s="5"/>
      <c r="D146" s="8"/>
      <c r="E146" s="8"/>
      <c r="F146" s="12" t="str">
        <f>IF(AND(B146="",C146=""),"",SUM(D146:E146))</f>
      </c>
      <c r="G146" s="8"/>
      <c r="H146" s="8"/>
      <c r="I146" s="6"/>
      <c r="J146" s="10" t="str">
        <f>IF(AND(B146="",C146=""),"",IF(OR(B146="",C146=""),"비용 설정 필요",IF(COUNTIFS('3_채널별_비용설정'!$C$6:$C$55,C146,'3_채널별_비용설정'!$D$6:$D$55,"&lt;="&amp;B146,'3_채널별_비용설정'!$O$6:$O$55,"&gt;="&amp;B146)=0,"비용 설정 필요",IF(COUNTIFS('3_채널별_비용설정'!$C$6:$C$55,C146,'3_채널별_비용설정'!$D$6:$D$55,"&lt;="&amp;B146,'3_채널별_비용설정'!$O$6:$O$55,"&gt;="&amp;B146)&gt;1,"기간 중복 확인","정상"))))</f>
      </c>
      <c r="K146" s="15" t="str">
        <f>IF(J146="","",IF(J146&lt;&gt;"정상","비용 설정 필요",SUMIFS('3_채널별_비용설정'!$F$6:$F$55,'3_채널별_비용설정'!$C$6:$C$55,C146,'3_채널별_비용설정'!$D$6:$D$55,"&lt;="&amp;B146,'3_채널별_비용설정'!$O$6:$O$55,"&gt;="&amp;B146)))</f>
      </c>
      <c r="L146" s="12" t="str">
        <f>IF(J146="","",IF(J146&lt;&gt;"정상","비용 설정 필요",ROUND(G146*K146,0)))</f>
      </c>
      <c r="M146" s="12" t="str">
        <f>IF(J146="","",IF(J146&lt;&gt;"정상","비용 설정 필요",SUMIFS('3_채널별_비용설정'!$L$6:$L$55,'3_채널별_비용설정'!$C$6:$C$55,C146,'3_채널별_비용설정'!$D$6:$D$55,"&lt;="&amp;B146,'3_채널별_비용설정'!$O$6:$O$55,"&gt;="&amp;B146)))</f>
      </c>
      <c r="N146" s="12" t="str">
        <f>IF(J146="","",IF(J146&lt;&gt;"정상","비용 설정 필요",SUMIFS('3_채널별_비용설정'!$M$6:$M$55,'3_채널별_비용설정'!$C$6:$C$55,C146,'3_채널별_비용설정'!$D$6:$D$55,"&lt;="&amp;B146,'3_채널별_비용설정'!$O$6:$O$55,"&gt;="&amp;B146)))</f>
      </c>
      <c r="O146" s="12" t="str">
        <f>IF(J146="","",IF(J146&lt;&gt;"정상","비용 설정 필요",(D146*M146)+(E146*N146)))</f>
      </c>
      <c r="P146" s="12" t="str">
        <f>IF(J146="","",IF(J146&lt;&gt;"정상","비용 설정 필요",L146+O146+H146))</f>
      </c>
      <c r="Q146" s="13" t="str">
        <f>IF(J146="","",IF(J146&lt;&gt;"정상","비용 설정 필요",G146-P146))</f>
      </c>
      <c r="R146" s="14" t="str">
        <f>IF(J146="","",IF(J146&lt;&gt;"정상","비용 설정 필요",IFERROR(Q146/G146,0)))</f>
      </c>
    </row>
    <row r="147">
      <c r="B147" s="7"/>
      <c r="C147" s="5"/>
      <c r="D147" s="8"/>
      <c r="E147" s="8"/>
      <c r="F147" s="12" t="str">
        <f>IF(AND(B147="",C147=""),"",SUM(D147:E147))</f>
      </c>
      <c r="G147" s="8"/>
      <c r="H147" s="8"/>
      <c r="I147" s="6"/>
      <c r="J147" s="10" t="str">
        <f>IF(AND(B147="",C147=""),"",IF(OR(B147="",C147=""),"비용 설정 필요",IF(COUNTIFS('3_채널별_비용설정'!$C$6:$C$55,C147,'3_채널별_비용설정'!$D$6:$D$55,"&lt;="&amp;B147,'3_채널별_비용설정'!$O$6:$O$55,"&gt;="&amp;B147)=0,"비용 설정 필요",IF(COUNTIFS('3_채널별_비용설정'!$C$6:$C$55,C147,'3_채널별_비용설정'!$D$6:$D$55,"&lt;="&amp;B147,'3_채널별_비용설정'!$O$6:$O$55,"&gt;="&amp;B147)&gt;1,"기간 중복 확인","정상"))))</f>
      </c>
      <c r="K147" s="15" t="str">
        <f>IF(J147="","",IF(J147&lt;&gt;"정상","비용 설정 필요",SUMIFS('3_채널별_비용설정'!$F$6:$F$55,'3_채널별_비용설정'!$C$6:$C$55,C147,'3_채널별_비용설정'!$D$6:$D$55,"&lt;="&amp;B147,'3_채널별_비용설정'!$O$6:$O$55,"&gt;="&amp;B147)))</f>
      </c>
      <c r="L147" s="12" t="str">
        <f>IF(J147="","",IF(J147&lt;&gt;"정상","비용 설정 필요",ROUND(G147*K147,0)))</f>
      </c>
      <c r="M147" s="12" t="str">
        <f>IF(J147="","",IF(J147&lt;&gt;"정상","비용 설정 필요",SUMIFS('3_채널별_비용설정'!$L$6:$L$55,'3_채널별_비용설정'!$C$6:$C$55,C147,'3_채널별_비용설정'!$D$6:$D$55,"&lt;="&amp;B147,'3_채널별_비용설정'!$O$6:$O$55,"&gt;="&amp;B147)))</f>
      </c>
      <c r="N147" s="12" t="str">
        <f>IF(J147="","",IF(J147&lt;&gt;"정상","비용 설정 필요",SUMIFS('3_채널별_비용설정'!$M$6:$M$55,'3_채널별_비용설정'!$C$6:$C$55,C147,'3_채널별_비용설정'!$D$6:$D$55,"&lt;="&amp;B147,'3_채널별_비용설정'!$O$6:$O$55,"&gt;="&amp;B147)))</f>
      </c>
      <c r="O147" s="12" t="str">
        <f>IF(J147="","",IF(J147&lt;&gt;"정상","비용 설정 필요",(D147*M147)+(E147*N147)))</f>
      </c>
      <c r="P147" s="12" t="str">
        <f>IF(J147="","",IF(J147&lt;&gt;"정상","비용 설정 필요",L147+O147+H147))</f>
      </c>
      <c r="Q147" s="13" t="str">
        <f>IF(J147="","",IF(J147&lt;&gt;"정상","비용 설정 필요",G147-P147))</f>
      </c>
      <c r="R147" s="14" t="str">
        <f>IF(J147="","",IF(J147&lt;&gt;"정상","비용 설정 필요",IFERROR(Q147/G147,0)))</f>
      </c>
    </row>
    <row r="148">
      <c r="B148" s="7"/>
      <c r="C148" s="5"/>
      <c r="D148" s="8"/>
      <c r="E148" s="8"/>
      <c r="F148" s="12" t="str">
        <f>IF(AND(B148="",C148=""),"",SUM(D148:E148))</f>
      </c>
      <c r="G148" s="8"/>
      <c r="H148" s="8"/>
      <c r="I148" s="6"/>
      <c r="J148" s="10" t="str">
        <f>IF(AND(B148="",C148=""),"",IF(OR(B148="",C148=""),"비용 설정 필요",IF(COUNTIFS('3_채널별_비용설정'!$C$6:$C$55,C148,'3_채널별_비용설정'!$D$6:$D$55,"&lt;="&amp;B148,'3_채널별_비용설정'!$O$6:$O$55,"&gt;="&amp;B148)=0,"비용 설정 필요",IF(COUNTIFS('3_채널별_비용설정'!$C$6:$C$55,C148,'3_채널별_비용설정'!$D$6:$D$55,"&lt;="&amp;B148,'3_채널별_비용설정'!$O$6:$O$55,"&gt;="&amp;B148)&gt;1,"기간 중복 확인","정상"))))</f>
      </c>
      <c r="K148" s="15" t="str">
        <f>IF(J148="","",IF(J148&lt;&gt;"정상","비용 설정 필요",SUMIFS('3_채널별_비용설정'!$F$6:$F$55,'3_채널별_비용설정'!$C$6:$C$55,C148,'3_채널별_비용설정'!$D$6:$D$55,"&lt;="&amp;B148,'3_채널별_비용설정'!$O$6:$O$55,"&gt;="&amp;B148)))</f>
      </c>
      <c r="L148" s="12" t="str">
        <f>IF(J148="","",IF(J148&lt;&gt;"정상","비용 설정 필요",ROUND(G148*K148,0)))</f>
      </c>
      <c r="M148" s="12" t="str">
        <f>IF(J148="","",IF(J148&lt;&gt;"정상","비용 설정 필요",SUMIFS('3_채널별_비용설정'!$L$6:$L$55,'3_채널별_비용설정'!$C$6:$C$55,C148,'3_채널별_비용설정'!$D$6:$D$55,"&lt;="&amp;B148,'3_채널별_비용설정'!$O$6:$O$55,"&gt;="&amp;B148)))</f>
      </c>
      <c r="N148" s="12" t="str">
        <f>IF(J148="","",IF(J148&lt;&gt;"정상","비용 설정 필요",SUMIFS('3_채널별_비용설정'!$M$6:$M$55,'3_채널별_비용설정'!$C$6:$C$55,C148,'3_채널별_비용설정'!$D$6:$D$55,"&lt;="&amp;B148,'3_채널별_비용설정'!$O$6:$O$55,"&gt;="&amp;B148)))</f>
      </c>
      <c r="O148" s="12" t="str">
        <f>IF(J148="","",IF(J148&lt;&gt;"정상","비용 설정 필요",(D148*M148)+(E148*N148)))</f>
      </c>
      <c r="P148" s="12" t="str">
        <f>IF(J148="","",IF(J148&lt;&gt;"정상","비용 설정 필요",L148+O148+H148))</f>
      </c>
      <c r="Q148" s="13" t="str">
        <f>IF(J148="","",IF(J148&lt;&gt;"정상","비용 설정 필요",G148-P148))</f>
      </c>
      <c r="R148" s="14" t="str">
        <f>IF(J148="","",IF(J148&lt;&gt;"정상","비용 설정 필요",IFERROR(Q148/G148,0)))</f>
      </c>
    </row>
    <row r="149">
      <c r="B149" s="7"/>
      <c r="C149" s="5"/>
      <c r="D149" s="8"/>
      <c r="E149" s="8"/>
      <c r="F149" s="12" t="str">
        <f>IF(AND(B149="",C149=""),"",SUM(D149:E149))</f>
      </c>
      <c r="G149" s="8"/>
      <c r="H149" s="8"/>
      <c r="I149" s="6"/>
      <c r="J149" s="10" t="str">
        <f>IF(AND(B149="",C149=""),"",IF(OR(B149="",C149=""),"비용 설정 필요",IF(COUNTIFS('3_채널별_비용설정'!$C$6:$C$55,C149,'3_채널별_비용설정'!$D$6:$D$55,"&lt;="&amp;B149,'3_채널별_비용설정'!$O$6:$O$55,"&gt;="&amp;B149)=0,"비용 설정 필요",IF(COUNTIFS('3_채널별_비용설정'!$C$6:$C$55,C149,'3_채널별_비용설정'!$D$6:$D$55,"&lt;="&amp;B149,'3_채널별_비용설정'!$O$6:$O$55,"&gt;="&amp;B149)&gt;1,"기간 중복 확인","정상"))))</f>
      </c>
      <c r="K149" s="15" t="str">
        <f>IF(J149="","",IF(J149&lt;&gt;"정상","비용 설정 필요",SUMIFS('3_채널별_비용설정'!$F$6:$F$55,'3_채널별_비용설정'!$C$6:$C$55,C149,'3_채널별_비용설정'!$D$6:$D$55,"&lt;="&amp;B149,'3_채널별_비용설정'!$O$6:$O$55,"&gt;="&amp;B149)))</f>
      </c>
      <c r="L149" s="12" t="str">
        <f>IF(J149="","",IF(J149&lt;&gt;"정상","비용 설정 필요",ROUND(G149*K149,0)))</f>
      </c>
      <c r="M149" s="12" t="str">
        <f>IF(J149="","",IF(J149&lt;&gt;"정상","비용 설정 필요",SUMIFS('3_채널별_비용설정'!$L$6:$L$55,'3_채널별_비용설정'!$C$6:$C$55,C149,'3_채널별_비용설정'!$D$6:$D$55,"&lt;="&amp;B149,'3_채널별_비용설정'!$O$6:$O$55,"&gt;="&amp;B149)))</f>
      </c>
      <c r="N149" s="12" t="str">
        <f>IF(J149="","",IF(J149&lt;&gt;"정상","비용 설정 필요",SUMIFS('3_채널별_비용설정'!$M$6:$M$55,'3_채널별_비용설정'!$C$6:$C$55,C149,'3_채널별_비용설정'!$D$6:$D$55,"&lt;="&amp;B149,'3_채널별_비용설정'!$O$6:$O$55,"&gt;="&amp;B149)))</f>
      </c>
      <c r="O149" s="12" t="str">
        <f>IF(J149="","",IF(J149&lt;&gt;"정상","비용 설정 필요",(D149*M149)+(E149*N149)))</f>
      </c>
      <c r="P149" s="12" t="str">
        <f>IF(J149="","",IF(J149&lt;&gt;"정상","비용 설정 필요",L149+O149+H149))</f>
      </c>
      <c r="Q149" s="13" t="str">
        <f>IF(J149="","",IF(J149&lt;&gt;"정상","비용 설정 필요",G149-P149))</f>
      </c>
      <c r="R149" s="14" t="str">
        <f>IF(J149="","",IF(J149&lt;&gt;"정상","비용 설정 필요",IFERROR(Q149/G149,0)))</f>
      </c>
    </row>
    <row r="150">
      <c r="B150" s="7"/>
      <c r="C150" s="5"/>
      <c r="D150" s="8"/>
      <c r="E150" s="8"/>
      <c r="F150" s="12" t="str">
        <f>IF(AND(B150="",C150=""),"",SUM(D150:E150))</f>
      </c>
      <c r="G150" s="8"/>
      <c r="H150" s="8"/>
      <c r="I150" s="6"/>
      <c r="J150" s="10" t="str">
        <f>IF(AND(B150="",C150=""),"",IF(OR(B150="",C150=""),"비용 설정 필요",IF(COUNTIFS('3_채널별_비용설정'!$C$6:$C$55,C150,'3_채널별_비용설정'!$D$6:$D$55,"&lt;="&amp;B150,'3_채널별_비용설정'!$O$6:$O$55,"&gt;="&amp;B150)=0,"비용 설정 필요",IF(COUNTIFS('3_채널별_비용설정'!$C$6:$C$55,C150,'3_채널별_비용설정'!$D$6:$D$55,"&lt;="&amp;B150,'3_채널별_비용설정'!$O$6:$O$55,"&gt;="&amp;B150)&gt;1,"기간 중복 확인","정상"))))</f>
      </c>
      <c r="K150" s="15" t="str">
        <f>IF(J150="","",IF(J150&lt;&gt;"정상","비용 설정 필요",SUMIFS('3_채널별_비용설정'!$F$6:$F$55,'3_채널별_비용설정'!$C$6:$C$55,C150,'3_채널별_비용설정'!$D$6:$D$55,"&lt;="&amp;B150,'3_채널별_비용설정'!$O$6:$O$55,"&gt;="&amp;B150)))</f>
      </c>
      <c r="L150" s="12" t="str">
        <f>IF(J150="","",IF(J150&lt;&gt;"정상","비용 설정 필요",ROUND(G150*K150,0)))</f>
      </c>
      <c r="M150" s="12" t="str">
        <f>IF(J150="","",IF(J150&lt;&gt;"정상","비용 설정 필요",SUMIFS('3_채널별_비용설정'!$L$6:$L$55,'3_채널별_비용설정'!$C$6:$C$55,C150,'3_채널별_비용설정'!$D$6:$D$55,"&lt;="&amp;B150,'3_채널별_비용설정'!$O$6:$O$55,"&gt;="&amp;B150)))</f>
      </c>
      <c r="N150" s="12" t="str">
        <f>IF(J150="","",IF(J150&lt;&gt;"정상","비용 설정 필요",SUMIFS('3_채널별_비용설정'!$M$6:$M$55,'3_채널별_비용설정'!$C$6:$C$55,C150,'3_채널별_비용설정'!$D$6:$D$55,"&lt;="&amp;B150,'3_채널별_비용설정'!$O$6:$O$55,"&gt;="&amp;B150)))</f>
      </c>
      <c r="O150" s="12" t="str">
        <f>IF(J150="","",IF(J150&lt;&gt;"정상","비용 설정 필요",(D150*M150)+(E150*N150)))</f>
      </c>
      <c r="P150" s="12" t="str">
        <f>IF(J150="","",IF(J150&lt;&gt;"정상","비용 설정 필요",L150+O150+H150))</f>
      </c>
      <c r="Q150" s="13" t="str">
        <f>IF(J150="","",IF(J150&lt;&gt;"정상","비용 설정 필요",G150-P150))</f>
      </c>
      <c r="R150" s="14" t="str">
        <f>IF(J150="","",IF(J150&lt;&gt;"정상","비용 설정 필요",IFERROR(Q150/G150,0)))</f>
      </c>
    </row>
    <row r="151">
      <c r="B151" s="7"/>
      <c r="C151" s="5"/>
      <c r="D151" s="8"/>
      <c r="E151" s="8"/>
      <c r="F151" s="12" t="str">
        <f>IF(AND(B151="",C151=""),"",SUM(D151:E151))</f>
      </c>
      <c r="G151" s="8"/>
      <c r="H151" s="8"/>
      <c r="I151" s="6"/>
      <c r="J151" s="10" t="str">
        <f>IF(AND(B151="",C151=""),"",IF(OR(B151="",C151=""),"비용 설정 필요",IF(COUNTIFS('3_채널별_비용설정'!$C$6:$C$55,C151,'3_채널별_비용설정'!$D$6:$D$55,"&lt;="&amp;B151,'3_채널별_비용설정'!$O$6:$O$55,"&gt;="&amp;B151)=0,"비용 설정 필요",IF(COUNTIFS('3_채널별_비용설정'!$C$6:$C$55,C151,'3_채널별_비용설정'!$D$6:$D$55,"&lt;="&amp;B151,'3_채널별_비용설정'!$O$6:$O$55,"&gt;="&amp;B151)&gt;1,"기간 중복 확인","정상"))))</f>
      </c>
      <c r="K151" s="15" t="str">
        <f>IF(J151="","",IF(J151&lt;&gt;"정상","비용 설정 필요",SUMIFS('3_채널별_비용설정'!$F$6:$F$55,'3_채널별_비용설정'!$C$6:$C$55,C151,'3_채널별_비용설정'!$D$6:$D$55,"&lt;="&amp;B151,'3_채널별_비용설정'!$O$6:$O$55,"&gt;="&amp;B151)))</f>
      </c>
      <c r="L151" s="12" t="str">
        <f>IF(J151="","",IF(J151&lt;&gt;"정상","비용 설정 필요",ROUND(G151*K151,0)))</f>
      </c>
      <c r="M151" s="12" t="str">
        <f>IF(J151="","",IF(J151&lt;&gt;"정상","비용 설정 필요",SUMIFS('3_채널별_비용설정'!$L$6:$L$55,'3_채널별_비용설정'!$C$6:$C$55,C151,'3_채널별_비용설정'!$D$6:$D$55,"&lt;="&amp;B151,'3_채널별_비용설정'!$O$6:$O$55,"&gt;="&amp;B151)))</f>
      </c>
      <c r="N151" s="12" t="str">
        <f>IF(J151="","",IF(J151&lt;&gt;"정상","비용 설정 필요",SUMIFS('3_채널별_비용설정'!$M$6:$M$55,'3_채널별_비용설정'!$C$6:$C$55,C151,'3_채널별_비용설정'!$D$6:$D$55,"&lt;="&amp;B151,'3_채널별_비용설정'!$O$6:$O$55,"&gt;="&amp;B151)))</f>
      </c>
      <c r="O151" s="12" t="str">
        <f>IF(J151="","",IF(J151&lt;&gt;"정상","비용 설정 필요",(D151*M151)+(E151*N151)))</f>
      </c>
      <c r="P151" s="12" t="str">
        <f>IF(J151="","",IF(J151&lt;&gt;"정상","비용 설정 필요",L151+O151+H151))</f>
      </c>
      <c r="Q151" s="13" t="str">
        <f>IF(J151="","",IF(J151&lt;&gt;"정상","비용 설정 필요",G151-P151))</f>
      </c>
      <c r="R151" s="14" t="str">
        <f>IF(J151="","",IF(J151&lt;&gt;"정상","비용 설정 필요",IFERROR(Q151/G151,0)))</f>
      </c>
    </row>
    <row r="152">
      <c r="B152" s="7"/>
      <c r="C152" s="5"/>
      <c r="D152" s="8"/>
      <c r="E152" s="8"/>
      <c r="F152" s="12" t="str">
        <f>IF(AND(B152="",C152=""),"",SUM(D152:E152))</f>
      </c>
      <c r="G152" s="8"/>
      <c r="H152" s="8"/>
      <c r="I152" s="6"/>
      <c r="J152" s="10" t="str">
        <f>IF(AND(B152="",C152=""),"",IF(OR(B152="",C152=""),"비용 설정 필요",IF(COUNTIFS('3_채널별_비용설정'!$C$6:$C$55,C152,'3_채널별_비용설정'!$D$6:$D$55,"&lt;="&amp;B152,'3_채널별_비용설정'!$O$6:$O$55,"&gt;="&amp;B152)=0,"비용 설정 필요",IF(COUNTIFS('3_채널별_비용설정'!$C$6:$C$55,C152,'3_채널별_비용설정'!$D$6:$D$55,"&lt;="&amp;B152,'3_채널별_비용설정'!$O$6:$O$55,"&gt;="&amp;B152)&gt;1,"기간 중복 확인","정상"))))</f>
      </c>
      <c r="K152" s="15" t="str">
        <f>IF(J152="","",IF(J152&lt;&gt;"정상","비용 설정 필요",SUMIFS('3_채널별_비용설정'!$F$6:$F$55,'3_채널별_비용설정'!$C$6:$C$55,C152,'3_채널별_비용설정'!$D$6:$D$55,"&lt;="&amp;B152,'3_채널별_비용설정'!$O$6:$O$55,"&gt;="&amp;B152)))</f>
      </c>
      <c r="L152" s="12" t="str">
        <f>IF(J152="","",IF(J152&lt;&gt;"정상","비용 설정 필요",ROUND(G152*K152,0)))</f>
      </c>
      <c r="M152" s="12" t="str">
        <f>IF(J152="","",IF(J152&lt;&gt;"정상","비용 설정 필요",SUMIFS('3_채널별_비용설정'!$L$6:$L$55,'3_채널별_비용설정'!$C$6:$C$55,C152,'3_채널별_비용설정'!$D$6:$D$55,"&lt;="&amp;B152,'3_채널별_비용설정'!$O$6:$O$55,"&gt;="&amp;B152)))</f>
      </c>
      <c r="N152" s="12" t="str">
        <f>IF(J152="","",IF(J152&lt;&gt;"정상","비용 설정 필요",SUMIFS('3_채널별_비용설정'!$M$6:$M$55,'3_채널별_비용설정'!$C$6:$C$55,C152,'3_채널별_비용설정'!$D$6:$D$55,"&lt;="&amp;B152,'3_채널별_비용설정'!$O$6:$O$55,"&gt;="&amp;B152)))</f>
      </c>
      <c r="O152" s="12" t="str">
        <f>IF(J152="","",IF(J152&lt;&gt;"정상","비용 설정 필요",(D152*M152)+(E152*N152)))</f>
      </c>
      <c r="P152" s="12" t="str">
        <f>IF(J152="","",IF(J152&lt;&gt;"정상","비용 설정 필요",L152+O152+H152))</f>
      </c>
      <c r="Q152" s="13" t="str">
        <f>IF(J152="","",IF(J152&lt;&gt;"정상","비용 설정 필요",G152-P152))</f>
      </c>
      <c r="R152" s="14" t="str">
        <f>IF(J152="","",IF(J152&lt;&gt;"정상","비용 설정 필요",IFERROR(Q152/G152,0)))</f>
      </c>
    </row>
    <row r="153">
      <c r="B153" s="7"/>
      <c r="C153" s="5"/>
      <c r="D153" s="8"/>
      <c r="E153" s="8"/>
      <c r="F153" s="12" t="str">
        <f>IF(AND(B153="",C153=""),"",SUM(D153:E153))</f>
      </c>
      <c r="G153" s="8"/>
      <c r="H153" s="8"/>
      <c r="I153" s="6"/>
      <c r="J153" s="10" t="str">
        <f>IF(AND(B153="",C153=""),"",IF(OR(B153="",C153=""),"비용 설정 필요",IF(COUNTIFS('3_채널별_비용설정'!$C$6:$C$55,C153,'3_채널별_비용설정'!$D$6:$D$55,"&lt;="&amp;B153,'3_채널별_비용설정'!$O$6:$O$55,"&gt;="&amp;B153)=0,"비용 설정 필요",IF(COUNTIFS('3_채널별_비용설정'!$C$6:$C$55,C153,'3_채널별_비용설정'!$D$6:$D$55,"&lt;="&amp;B153,'3_채널별_비용설정'!$O$6:$O$55,"&gt;="&amp;B153)&gt;1,"기간 중복 확인","정상"))))</f>
      </c>
      <c r="K153" s="15" t="str">
        <f>IF(J153="","",IF(J153&lt;&gt;"정상","비용 설정 필요",SUMIFS('3_채널별_비용설정'!$F$6:$F$55,'3_채널별_비용설정'!$C$6:$C$55,C153,'3_채널별_비용설정'!$D$6:$D$55,"&lt;="&amp;B153,'3_채널별_비용설정'!$O$6:$O$55,"&gt;="&amp;B153)))</f>
      </c>
      <c r="L153" s="12" t="str">
        <f>IF(J153="","",IF(J153&lt;&gt;"정상","비용 설정 필요",ROUND(G153*K153,0)))</f>
      </c>
      <c r="M153" s="12" t="str">
        <f>IF(J153="","",IF(J153&lt;&gt;"정상","비용 설정 필요",SUMIFS('3_채널별_비용설정'!$L$6:$L$55,'3_채널별_비용설정'!$C$6:$C$55,C153,'3_채널별_비용설정'!$D$6:$D$55,"&lt;="&amp;B153,'3_채널별_비용설정'!$O$6:$O$55,"&gt;="&amp;B153)))</f>
      </c>
      <c r="N153" s="12" t="str">
        <f>IF(J153="","",IF(J153&lt;&gt;"정상","비용 설정 필요",SUMIFS('3_채널별_비용설정'!$M$6:$M$55,'3_채널별_비용설정'!$C$6:$C$55,C153,'3_채널별_비용설정'!$D$6:$D$55,"&lt;="&amp;B153,'3_채널별_비용설정'!$O$6:$O$55,"&gt;="&amp;B153)))</f>
      </c>
      <c r="O153" s="12" t="str">
        <f>IF(J153="","",IF(J153&lt;&gt;"정상","비용 설정 필요",(D153*M153)+(E153*N153)))</f>
      </c>
      <c r="P153" s="12" t="str">
        <f>IF(J153="","",IF(J153&lt;&gt;"정상","비용 설정 필요",L153+O153+H153))</f>
      </c>
      <c r="Q153" s="13" t="str">
        <f>IF(J153="","",IF(J153&lt;&gt;"정상","비용 설정 필요",G153-P153))</f>
      </c>
      <c r="R153" s="14" t="str">
        <f>IF(J153="","",IF(J153&lt;&gt;"정상","비용 설정 필요",IFERROR(Q153/G153,0)))</f>
      </c>
    </row>
    <row r="154">
      <c r="B154" s="7"/>
      <c r="C154" s="5"/>
      <c r="D154" s="8"/>
      <c r="E154" s="8"/>
      <c r="F154" s="12" t="str">
        <f>IF(AND(B154="",C154=""),"",SUM(D154:E154))</f>
      </c>
      <c r="G154" s="8"/>
      <c r="H154" s="8"/>
      <c r="I154" s="6"/>
      <c r="J154" s="10" t="str">
        <f>IF(AND(B154="",C154=""),"",IF(OR(B154="",C154=""),"비용 설정 필요",IF(COUNTIFS('3_채널별_비용설정'!$C$6:$C$55,C154,'3_채널별_비용설정'!$D$6:$D$55,"&lt;="&amp;B154,'3_채널별_비용설정'!$O$6:$O$55,"&gt;="&amp;B154)=0,"비용 설정 필요",IF(COUNTIFS('3_채널별_비용설정'!$C$6:$C$55,C154,'3_채널별_비용설정'!$D$6:$D$55,"&lt;="&amp;B154,'3_채널별_비용설정'!$O$6:$O$55,"&gt;="&amp;B154)&gt;1,"기간 중복 확인","정상"))))</f>
      </c>
      <c r="K154" s="15" t="str">
        <f>IF(J154="","",IF(J154&lt;&gt;"정상","비용 설정 필요",SUMIFS('3_채널별_비용설정'!$F$6:$F$55,'3_채널별_비용설정'!$C$6:$C$55,C154,'3_채널별_비용설정'!$D$6:$D$55,"&lt;="&amp;B154,'3_채널별_비용설정'!$O$6:$O$55,"&gt;="&amp;B154)))</f>
      </c>
      <c r="L154" s="12" t="str">
        <f>IF(J154="","",IF(J154&lt;&gt;"정상","비용 설정 필요",ROUND(G154*K154,0)))</f>
      </c>
      <c r="M154" s="12" t="str">
        <f>IF(J154="","",IF(J154&lt;&gt;"정상","비용 설정 필요",SUMIFS('3_채널별_비용설정'!$L$6:$L$55,'3_채널별_비용설정'!$C$6:$C$55,C154,'3_채널별_비용설정'!$D$6:$D$55,"&lt;="&amp;B154,'3_채널별_비용설정'!$O$6:$O$55,"&gt;="&amp;B154)))</f>
      </c>
      <c r="N154" s="12" t="str">
        <f>IF(J154="","",IF(J154&lt;&gt;"정상","비용 설정 필요",SUMIFS('3_채널별_비용설정'!$M$6:$M$55,'3_채널별_비용설정'!$C$6:$C$55,C154,'3_채널별_비용설정'!$D$6:$D$55,"&lt;="&amp;B154,'3_채널별_비용설정'!$O$6:$O$55,"&gt;="&amp;B154)))</f>
      </c>
      <c r="O154" s="12" t="str">
        <f>IF(J154="","",IF(J154&lt;&gt;"정상","비용 설정 필요",(D154*M154)+(E154*N154)))</f>
      </c>
      <c r="P154" s="12" t="str">
        <f>IF(J154="","",IF(J154&lt;&gt;"정상","비용 설정 필요",L154+O154+H154))</f>
      </c>
      <c r="Q154" s="13" t="str">
        <f>IF(J154="","",IF(J154&lt;&gt;"정상","비용 설정 필요",G154-P154))</f>
      </c>
      <c r="R154" s="14" t="str">
        <f>IF(J154="","",IF(J154&lt;&gt;"정상","비용 설정 필요",IFERROR(Q154/G154,0)))</f>
      </c>
    </row>
    <row r="155">
      <c r="B155" s="7"/>
      <c r="C155" s="5"/>
      <c r="D155" s="8"/>
      <c r="E155" s="8"/>
      <c r="F155" s="12" t="str">
        <f>IF(AND(B155="",C155=""),"",SUM(D155:E155))</f>
      </c>
      <c r="G155" s="8"/>
      <c r="H155" s="8"/>
      <c r="I155" s="6"/>
      <c r="J155" s="10" t="str">
        <f>IF(AND(B155="",C155=""),"",IF(OR(B155="",C155=""),"비용 설정 필요",IF(COUNTIFS('3_채널별_비용설정'!$C$6:$C$55,C155,'3_채널별_비용설정'!$D$6:$D$55,"&lt;="&amp;B155,'3_채널별_비용설정'!$O$6:$O$55,"&gt;="&amp;B155)=0,"비용 설정 필요",IF(COUNTIFS('3_채널별_비용설정'!$C$6:$C$55,C155,'3_채널별_비용설정'!$D$6:$D$55,"&lt;="&amp;B155,'3_채널별_비용설정'!$O$6:$O$55,"&gt;="&amp;B155)&gt;1,"기간 중복 확인","정상"))))</f>
      </c>
      <c r="K155" s="15" t="str">
        <f>IF(J155="","",IF(J155&lt;&gt;"정상","비용 설정 필요",SUMIFS('3_채널별_비용설정'!$F$6:$F$55,'3_채널별_비용설정'!$C$6:$C$55,C155,'3_채널별_비용설정'!$D$6:$D$55,"&lt;="&amp;B155,'3_채널별_비용설정'!$O$6:$O$55,"&gt;="&amp;B155)))</f>
      </c>
      <c r="L155" s="12" t="str">
        <f>IF(J155="","",IF(J155&lt;&gt;"정상","비용 설정 필요",ROUND(G155*K155,0)))</f>
      </c>
      <c r="M155" s="12" t="str">
        <f>IF(J155="","",IF(J155&lt;&gt;"정상","비용 설정 필요",SUMIFS('3_채널별_비용설정'!$L$6:$L$55,'3_채널별_비용설정'!$C$6:$C$55,C155,'3_채널별_비용설정'!$D$6:$D$55,"&lt;="&amp;B155,'3_채널별_비용설정'!$O$6:$O$55,"&gt;="&amp;B155)))</f>
      </c>
      <c r="N155" s="12" t="str">
        <f>IF(J155="","",IF(J155&lt;&gt;"정상","비용 설정 필요",SUMIFS('3_채널별_비용설정'!$M$6:$M$55,'3_채널별_비용설정'!$C$6:$C$55,C155,'3_채널별_비용설정'!$D$6:$D$55,"&lt;="&amp;B155,'3_채널별_비용설정'!$O$6:$O$55,"&gt;="&amp;B155)))</f>
      </c>
      <c r="O155" s="12" t="str">
        <f>IF(J155="","",IF(J155&lt;&gt;"정상","비용 설정 필요",(D155*M155)+(E155*N155)))</f>
      </c>
      <c r="P155" s="12" t="str">
        <f>IF(J155="","",IF(J155&lt;&gt;"정상","비용 설정 필요",L155+O155+H155))</f>
      </c>
      <c r="Q155" s="13" t="str">
        <f>IF(J155="","",IF(J155&lt;&gt;"정상","비용 설정 필요",G155-P155))</f>
      </c>
      <c r="R155" s="14" t="str">
        <f>IF(J155="","",IF(J155&lt;&gt;"정상","비용 설정 필요",IFERROR(Q155/G155,0)))</f>
      </c>
    </row>
    <row r="156">
      <c r="B156" s="7"/>
      <c r="C156" s="5"/>
      <c r="D156" s="8"/>
      <c r="E156" s="8"/>
      <c r="F156" s="12" t="str">
        <f>IF(AND(B156="",C156=""),"",SUM(D156:E156))</f>
      </c>
      <c r="G156" s="8"/>
      <c r="H156" s="8"/>
      <c r="I156" s="6"/>
      <c r="J156" s="10" t="str">
        <f>IF(AND(B156="",C156=""),"",IF(OR(B156="",C156=""),"비용 설정 필요",IF(COUNTIFS('3_채널별_비용설정'!$C$6:$C$55,C156,'3_채널별_비용설정'!$D$6:$D$55,"&lt;="&amp;B156,'3_채널별_비용설정'!$O$6:$O$55,"&gt;="&amp;B156)=0,"비용 설정 필요",IF(COUNTIFS('3_채널별_비용설정'!$C$6:$C$55,C156,'3_채널별_비용설정'!$D$6:$D$55,"&lt;="&amp;B156,'3_채널별_비용설정'!$O$6:$O$55,"&gt;="&amp;B156)&gt;1,"기간 중복 확인","정상"))))</f>
      </c>
      <c r="K156" s="15" t="str">
        <f>IF(J156="","",IF(J156&lt;&gt;"정상","비용 설정 필요",SUMIFS('3_채널별_비용설정'!$F$6:$F$55,'3_채널별_비용설정'!$C$6:$C$55,C156,'3_채널별_비용설정'!$D$6:$D$55,"&lt;="&amp;B156,'3_채널별_비용설정'!$O$6:$O$55,"&gt;="&amp;B156)))</f>
      </c>
      <c r="L156" s="12" t="str">
        <f>IF(J156="","",IF(J156&lt;&gt;"정상","비용 설정 필요",ROUND(G156*K156,0)))</f>
      </c>
      <c r="M156" s="12" t="str">
        <f>IF(J156="","",IF(J156&lt;&gt;"정상","비용 설정 필요",SUMIFS('3_채널별_비용설정'!$L$6:$L$55,'3_채널별_비용설정'!$C$6:$C$55,C156,'3_채널별_비용설정'!$D$6:$D$55,"&lt;="&amp;B156,'3_채널별_비용설정'!$O$6:$O$55,"&gt;="&amp;B156)))</f>
      </c>
      <c r="N156" s="12" t="str">
        <f>IF(J156="","",IF(J156&lt;&gt;"정상","비용 설정 필요",SUMIFS('3_채널별_비용설정'!$M$6:$M$55,'3_채널별_비용설정'!$C$6:$C$55,C156,'3_채널별_비용설정'!$D$6:$D$55,"&lt;="&amp;B156,'3_채널별_비용설정'!$O$6:$O$55,"&gt;="&amp;B156)))</f>
      </c>
      <c r="O156" s="12" t="str">
        <f>IF(J156="","",IF(J156&lt;&gt;"정상","비용 설정 필요",(D156*M156)+(E156*N156)))</f>
      </c>
      <c r="P156" s="12" t="str">
        <f>IF(J156="","",IF(J156&lt;&gt;"정상","비용 설정 필요",L156+O156+H156))</f>
      </c>
      <c r="Q156" s="13" t="str">
        <f>IF(J156="","",IF(J156&lt;&gt;"정상","비용 설정 필요",G156-P156))</f>
      </c>
      <c r="R156" s="14" t="str">
        <f>IF(J156="","",IF(J156&lt;&gt;"정상","비용 설정 필요",IFERROR(Q156/G156,0)))</f>
      </c>
    </row>
    <row r="157">
      <c r="B157" s="7"/>
      <c r="C157" s="5"/>
      <c r="D157" s="8"/>
      <c r="E157" s="8"/>
      <c r="F157" s="12" t="str">
        <f>IF(AND(B157="",C157=""),"",SUM(D157:E157))</f>
      </c>
      <c r="G157" s="8"/>
      <c r="H157" s="8"/>
      <c r="I157" s="6"/>
      <c r="J157" s="10" t="str">
        <f>IF(AND(B157="",C157=""),"",IF(OR(B157="",C157=""),"비용 설정 필요",IF(COUNTIFS('3_채널별_비용설정'!$C$6:$C$55,C157,'3_채널별_비용설정'!$D$6:$D$55,"&lt;="&amp;B157,'3_채널별_비용설정'!$O$6:$O$55,"&gt;="&amp;B157)=0,"비용 설정 필요",IF(COUNTIFS('3_채널별_비용설정'!$C$6:$C$55,C157,'3_채널별_비용설정'!$D$6:$D$55,"&lt;="&amp;B157,'3_채널별_비용설정'!$O$6:$O$55,"&gt;="&amp;B157)&gt;1,"기간 중복 확인","정상"))))</f>
      </c>
      <c r="K157" s="15" t="str">
        <f>IF(J157="","",IF(J157&lt;&gt;"정상","비용 설정 필요",SUMIFS('3_채널별_비용설정'!$F$6:$F$55,'3_채널별_비용설정'!$C$6:$C$55,C157,'3_채널별_비용설정'!$D$6:$D$55,"&lt;="&amp;B157,'3_채널별_비용설정'!$O$6:$O$55,"&gt;="&amp;B157)))</f>
      </c>
      <c r="L157" s="12" t="str">
        <f>IF(J157="","",IF(J157&lt;&gt;"정상","비용 설정 필요",ROUND(G157*K157,0)))</f>
      </c>
      <c r="M157" s="12" t="str">
        <f>IF(J157="","",IF(J157&lt;&gt;"정상","비용 설정 필요",SUMIFS('3_채널별_비용설정'!$L$6:$L$55,'3_채널별_비용설정'!$C$6:$C$55,C157,'3_채널별_비용설정'!$D$6:$D$55,"&lt;="&amp;B157,'3_채널별_비용설정'!$O$6:$O$55,"&gt;="&amp;B157)))</f>
      </c>
      <c r="N157" s="12" t="str">
        <f>IF(J157="","",IF(J157&lt;&gt;"정상","비용 설정 필요",SUMIFS('3_채널별_비용설정'!$M$6:$M$55,'3_채널별_비용설정'!$C$6:$C$55,C157,'3_채널별_비용설정'!$D$6:$D$55,"&lt;="&amp;B157,'3_채널별_비용설정'!$O$6:$O$55,"&gt;="&amp;B157)))</f>
      </c>
      <c r="O157" s="12" t="str">
        <f>IF(J157="","",IF(J157&lt;&gt;"정상","비용 설정 필요",(D157*M157)+(E157*N157)))</f>
      </c>
      <c r="P157" s="12" t="str">
        <f>IF(J157="","",IF(J157&lt;&gt;"정상","비용 설정 필요",L157+O157+H157))</f>
      </c>
      <c r="Q157" s="13" t="str">
        <f>IF(J157="","",IF(J157&lt;&gt;"정상","비용 설정 필요",G157-P157))</f>
      </c>
      <c r="R157" s="14" t="str">
        <f>IF(J157="","",IF(J157&lt;&gt;"정상","비용 설정 필요",IFERROR(Q157/G157,0)))</f>
      </c>
    </row>
    <row r="158">
      <c r="B158" s="7"/>
      <c r="C158" s="5"/>
      <c r="D158" s="8"/>
      <c r="E158" s="8"/>
      <c r="F158" s="12" t="str">
        <f>IF(AND(B158="",C158=""),"",SUM(D158:E158))</f>
      </c>
      <c r="G158" s="8"/>
      <c r="H158" s="8"/>
      <c r="I158" s="6"/>
      <c r="J158" s="10" t="str">
        <f>IF(AND(B158="",C158=""),"",IF(OR(B158="",C158=""),"비용 설정 필요",IF(COUNTIFS('3_채널별_비용설정'!$C$6:$C$55,C158,'3_채널별_비용설정'!$D$6:$D$55,"&lt;="&amp;B158,'3_채널별_비용설정'!$O$6:$O$55,"&gt;="&amp;B158)=0,"비용 설정 필요",IF(COUNTIFS('3_채널별_비용설정'!$C$6:$C$55,C158,'3_채널별_비용설정'!$D$6:$D$55,"&lt;="&amp;B158,'3_채널별_비용설정'!$O$6:$O$55,"&gt;="&amp;B158)&gt;1,"기간 중복 확인","정상"))))</f>
      </c>
      <c r="K158" s="15" t="str">
        <f>IF(J158="","",IF(J158&lt;&gt;"정상","비용 설정 필요",SUMIFS('3_채널별_비용설정'!$F$6:$F$55,'3_채널별_비용설정'!$C$6:$C$55,C158,'3_채널별_비용설정'!$D$6:$D$55,"&lt;="&amp;B158,'3_채널별_비용설정'!$O$6:$O$55,"&gt;="&amp;B158)))</f>
      </c>
      <c r="L158" s="12" t="str">
        <f>IF(J158="","",IF(J158&lt;&gt;"정상","비용 설정 필요",ROUND(G158*K158,0)))</f>
      </c>
      <c r="M158" s="12" t="str">
        <f>IF(J158="","",IF(J158&lt;&gt;"정상","비용 설정 필요",SUMIFS('3_채널별_비용설정'!$L$6:$L$55,'3_채널별_비용설정'!$C$6:$C$55,C158,'3_채널별_비용설정'!$D$6:$D$55,"&lt;="&amp;B158,'3_채널별_비용설정'!$O$6:$O$55,"&gt;="&amp;B158)))</f>
      </c>
      <c r="N158" s="12" t="str">
        <f>IF(J158="","",IF(J158&lt;&gt;"정상","비용 설정 필요",SUMIFS('3_채널별_비용설정'!$M$6:$M$55,'3_채널별_비용설정'!$C$6:$C$55,C158,'3_채널별_비용설정'!$D$6:$D$55,"&lt;="&amp;B158,'3_채널별_비용설정'!$O$6:$O$55,"&gt;="&amp;B158)))</f>
      </c>
      <c r="O158" s="12" t="str">
        <f>IF(J158="","",IF(J158&lt;&gt;"정상","비용 설정 필요",(D158*M158)+(E158*N158)))</f>
      </c>
      <c r="P158" s="12" t="str">
        <f>IF(J158="","",IF(J158&lt;&gt;"정상","비용 설정 필요",L158+O158+H158))</f>
      </c>
      <c r="Q158" s="13" t="str">
        <f>IF(J158="","",IF(J158&lt;&gt;"정상","비용 설정 필요",G158-P158))</f>
      </c>
      <c r="R158" s="14" t="str">
        <f>IF(J158="","",IF(J158&lt;&gt;"정상","비용 설정 필요",IFERROR(Q158/G158,0)))</f>
      </c>
    </row>
    <row r="159">
      <c r="B159" s="7"/>
      <c r="C159" s="5"/>
      <c r="D159" s="8"/>
      <c r="E159" s="8"/>
      <c r="F159" s="12" t="str">
        <f>IF(AND(B159="",C159=""),"",SUM(D159:E159))</f>
      </c>
      <c r="G159" s="8"/>
      <c r="H159" s="8"/>
      <c r="I159" s="6"/>
      <c r="J159" s="10" t="str">
        <f>IF(AND(B159="",C159=""),"",IF(OR(B159="",C159=""),"비용 설정 필요",IF(COUNTIFS('3_채널별_비용설정'!$C$6:$C$55,C159,'3_채널별_비용설정'!$D$6:$D$55,"&lt;="&amp;B159,'3_채널별_비용설정'!$O$6:$O$55,"&gt;="&amp;B159)=0,"비용 설정 필요",IF(COUNTIFS('3_채널별_비용설정'!$C$6:$C$55,C159,'3_채널별_비용설정'!$D$6:$D$55,"&lt;="&amp;B159,'3_채널별_비용설정'!$O$6:$O$55,"&gt;="&amp;B159)&gt;1,"기간 중복 확인","정상"))))</f>
      </c>
      <c r="K159" s="15" t="str">
        <f>IF(J159="","",IF(J159&lt;&gt;"정상","비용 설정 필요",SUMIFS('3_채널별_비용설정'!$F$6:$F$55,'3_채널별_비용설정'!$C$6:$C$55,C159,'3_채널별_비용설정'!$D$6:$D$55,"&lt;="&amp;B159,'3_채널별_비용설정'!$O$6:$O$55,"&gt;="&amp;B159)))</f>
      </c>
      <c r="L159" s="12" t="str">
        <f>IF(J159="","",IF(J159&lt;&gt;"정상","비용 설정 필요",ROUND(G159*K159,0)))</f>
      </c>
      <c r="M159" s="12" t="str">
        <f>IF(J159="","",IF(J159&lt;&gt;"정상","비용 설정 필요",SUMIFS('3_채널별_비용설정'!$L$6:$L$55,'3_채널별_비용설정'!$C$6:$C$55,C159,'3_채널별_비용설정'!$D$6:$D$55,"&lt;="&amp;B159,'3_채널별_비용설정'!$O$6:$O$55,"&gt;="&amp;B159)))</f>
      </c>
      <c r="N159" s="12" t="str">
        <f>IF(J159="","",IF(J159&lt;&gt;"정상","비용 설정 필요",SUMIFS('3_채널별_비용설정'!$M$6:$M$55,'3_채널별_비용설정'!$C$6:$C$55,C159,'3_채널별_비용설정'!$D$6:$D$55,"&lt;="&amp;B159,'3_채널별_비용설정'!$O$6:$O$55,"&gt;="&amp;B159)))</f>
      </c>
      <c r="O159" s="12" t="str">
        <f>IF(J159="","",IF(J159&lt;&gt;"정상","비용 설정 필요",(D159*M159)+(E159*N159)))</f>
      </c>
      <c r="P159" s="12" t="str">
        <f>IF(J159="","",IF(J159&lt;&gt;"정상","비용 설정 필요",L159+O159+H159))</f>
      </c>
      <c r="Q159" s="13" t="str">
        <f>IF(J159="","",IF(J159&lt;&gt;"정상","비용 설정 필요",G159-P159))</f>
      </c>
      <c r="R159" s="14" t="str">
        <f>IF(J159="","",IF(J159&lt;&gt;"정상","비용 설정 필요",IFERROR(Q159/G159,0)))</f>
      </c>
    </row>
    <row r="160">
      <c r="B160" s="7"/>
      <c r="C160" s="5"/>
      <c r="D160" s="8"/>
      <c r="E160" s="8"/>
      <c r="F160" s="12" t="str">
        <f>IF(AND(B160="",C160=""),"",SUM(D160:E160))</f>
      </c>
      <c r="G160" s="8"/>
      <c r="H160" s="8"/>
      <c r="I160" s="6"/>
      <c r="J160" s="10" t="str">
        <f>IF(AND(B160="",C160=""),"",IF(OR(B160="",C160=""),"비용 설정 필요",IF(COUNTIFS('3_채널별_비용설정'!$C$6:$C$55,C160,'3_채널별_비용설정'!$D$6:$D$55,"&lt;="&amp;B160,'3_채널별_비용설정'!$O$6:$O$55,"&gt;="&amp;B160)=0,"비용 설정 필요",IF(COUNTIFS('3_채널별_비용설정'!$C$6:$C$55,C160,'3_채널별_비용설정'!$D$6:$D$55,"&lt;="&amp;B160,'3_채널별_비용설정'!$O$6:$O$55,"&gt;="&amp;B160)&gt;1,"기간 중복 확인","정상"))))</f>
      </c>
      <c r="K160" s="15" t="str">
        <f>IF(J160="","",IF(J160&lt;&gt;"정상","비용 설정 필요",SUMIFS('3_채널별_비용설정'!$F$6:$F$55,'3_채널별_비용설정'!$C$6:$C$55,C160,'3_채널별_비용설정'!$D$6:$D$55,"&lt;="&amp;B160,'3_채널별_비용설정'!$O$6:$O$55,"&gt;="&amp;B160)))</f>
      </c>
      <c r="L160" s="12" t="str">
        <f>IF(J160="","",IF(J160&lt;&gt;"정상","비용 설정 필요",ROUND(G160*K160,0)))</f>
      </c>
      <c r="M160" s="12" t="str">
        <f>IF(J160="","",IF(J160&lt;&gt;"정상","비용 설정 필요",SUMIFS('3_채널별_비용설정'!$L$6:$L$55,'3_채널별_비용설정'!$C$6:$C$55,C160,'3_채널별_비용설정'!$D$6:$D$55,"&lt;="&amp;B160,'3_채널별_비용설정'!$O$6:$O$55,"&gt;="&amp;B160)))</f>
      </c>
      <c r="N160" s="12" t="str">
        <f>IF(J160="","",IF(J160&lt;&gt;"정상","비용 설정 필요",SUMIFS('3_채널별_비용설정'!$M$6:$M$55,'3_채널별_비용설정'!$C$6:$C$55,C160,'3_채널별_비용설정'!$D$6:$D$55,"&lt;="&amp;B160,'3_채널별_비용설정'!$O$6:$O$55,"&gt;="&amp;B160)))</f>
      </c>
      <c r="O160" s="12" t="str">
        <f>IF(J160="","",IF(J160&lt;&gt;"정상","비용 설정 필요",(D160*M160)+(E160*N160)))</f>
      </c>
      <c r="P160" s="12" t="str">
        <f>IF(J160="","",IF(J160&lt;&gt;"정상","비용 설정 필요",L160+O160+H160))</f>
      </c>
      <c r="Q160" s="13" t="str">
        <f>IF(J160="","",IF(J160&lt;&gt;"정상","비용 설정 필요",G160-P160))</f>
      </c>
      <c r="R160" s="14" t="str">
        <f>IF(J160="","",IF(J160&lt;&gt;"정상","비용 설정 필요",IFERROR(Q160/G160,0)))</f>
      </c>
    </row>
    <row r="161">
      <c r="B161" s="7"/>
      <c r="C161" s="5"/>
      <c r="D161" s="8"/>
      <c r="E161" s="8"/>
      <c r="F161" s="12" t="str">
        <f>IF(AND(B161="",C161=""),"",SUM(D161:E161))</f>
      </c>
      <c r="G161" s="8"/>
      <c r="H161" s="8"/>
      <c r="I161" s="6"/>
      <c r="J161" s="10" t="str">
        <f>IF(AND(B161="",C161=""),"",IF(OR(B161="",C161=""),"비용 설정 필요",IF(COUNTIFS('3_채널별_비용설정'!$C$6:$C$55,C161,'3_채널별_비용설정'!$D$6:$D$55,"&lt;="&amp;B161,'3_채널별_비용설정'!$O$6:$O$55,"&gt;="&amp;B161)=0,"비용 설정 필요",IF(COUNTIFS('3_채널별_비용설정'!$C$6:$C$55,C161,'3_채널별_비용설정'!$D$6:$D$55,"&lt;="&amp;B161,'3_채널별_비용설정'!$O$6:$O$55,"&gt;="&amp;B161)&gt;1,"기간 중복 확인","정상"))))</f>
      </c>
      <c r="K161" s="15" t="str">
        <f>IF(J161="","",IF(J161&lt;&gt;"정상","비용 설정 필요",SUMIFS('3_채널별_비용설정'!$F$6:$F$55,'3_채널별_비용설정'!$C$6:$C$55,C161,'3_채널별_비용설정'!$D$6:$D$55,"&lt;="&amp;B161,'3_채널별_비용설정'!$O$6:$O$55,"&gt;="&amp;B161)))</f>
      </c>
      <c r="L161" s="12" t="str">
        <f>IF(J161="","",IF(J161&lt;&gt;"정상","비용 설정 필요",ROUND(G161*K161,0)))</f>
      </c>
      <c r="M161" s="12" t="str">
        <f>IF(J161="","",IF(J161&lt;&gt;"정상","비용 설정 필요",SUMIFS('3_채널별_비용설정'!$L$6:$L$55,'3_채널별_비용설정'!$C$6:$C$55,C161,'3_채널별_비용설정'!$D$6:$D$55,"&lt;="&amp;B161,'3_채널별_비용설정'!$O$6:$O$55,"&gt;="&amp;B161)))</f>
      </c>
      <c r="N161" s="12" t="str">
        <f>IF(J161="","",IF(J161&lt;&gt;"정상","비용 설정 필요",SUMIFS('3_채널별_비용설정'!$M$6:$M$55,'3_채널별_비용설정'!$C$6:$C$55,C161,'3_채널별_비용설정'!$D$6:$D$55,"&lt;="&amp;B161,'3_채널별_비용설정'!$O$6:$O$55,"&gt;="&amp;B161)))</f>
      </c>
      <c r="O161" s="12" t="str">
        <f>IF(J161="","",IF(J161&lt;&gt;"정상","비용 설정 필요",(D161*M161)+(E161*N161)))</f>
      </c>
      <c r="P161" s="12" t="str">
        <f>IF(J161="","",IF(J161&lt;&gt;"정상","비용 설정 필요",L161+O161+H161))</f>
      </c>
      <c r="Q161" s="13" t="str">
        <f>IF(J161="","",IF(J161&lt;&gt;"정상","비용 설정 필요",G161-P161))</f>
      </c>
      <c r="R161" s="14" t="str">
        <f>IF(J161="","",IF(J161&lt;&gt;"정상","비용 설정 필요",IFERROR(Q161/G161,0)))</f>
      </c>
    </row>
    <row r="162">
      <c r="B162" s="7"/>
      <c r="C162" s="5"/>
      <c r="D162" s="8"/>
      <c r="E162" s="8"/>
      <c r="F162" s="12" t="str">
        <f>IF(AND(B162="",C162=""),"",SUM(D162:E162))</f>
      </c>
      <c r="G162" s="8"/>
      <c r="H162" s="8"/>
      <c r="I162" s="6"/>
      <c r="J162" s="10" t="str">
        <f>IF(AND(B162="",C162=""),"",IF(OR(B162="",C162=""),"비용 설정 필요",IF(COUNTIFS('3_채널별_비용설정'!$C$6:$C$55,C162,'3_채널별_비용설정'!$D$6:$D$55,"&lt;="&amp;B162,'3_채널별_비용설정'!$O$6:$O$55,"&gt;="&amp;B162)=0,"비용 설정 필요",IF(COUNTIFS('3_채널별_비용설정'!$C$6:$C$55,C162,'3_채널별_비용설정'!$D$6:$D$55,"&lt;="&amp;B162,'3_채널별_비용설정'!$O$6:$O$55,"&gt;="&amp;B162)&gt;1,"기간 중복 확인","정상"))))</f>
      </c>
      <c r="K162" s="15" t="str">
        <f>IF(J162="","",IF(J162&lt;&gt;"정상","비용 설정 필요",SUMIFS('3_채널별_비용설정'!$F$6:$F$55,'3_채널별_비용설정'!$C$6:$C$55,C162,'3_채널별_비용설정'!$D$6:$D$55,"&lt;="&amp;B162,'3_채널별_비용설정'!$O$6:$O$55,"&gt;="&amp;B162)))</f>
      </c>
      <c r="L162" s="12" t="str">
        <f>IF(J162="","",IF(J162&lt;&gt;"정상","비용 설정 필요",ROUND(G162*K162,0)))</f>
      </c>
      <c r="M162" s="12" t="str">
        <f>IF(J162="","",IF(J162&lt;&gt;"정상","비용 설정 필요",SUMIFS('3_채널별_비용설정'!$L$6:$L$55,'3_채널별_비용설정'!$C$6:$C$55,C162,'3_채널별_비용설정'!$D$6:$D$55,"&lt;="&amp;B162,'3_채널별_비용설정'!$O$6:$O$55,"&gt;="&amp;B162)))</f>
      </c>
      <c r="N162" s="12" t="str">
        <f>IF(J162="","",IF(J162&lt;&gt;"정상","비용 설정 필요",SUMIFS('3_채널별_비용설정'!$M$6:$M$55,'3_채널별_비용설정'!$C$6:$C$55,C162,'3_채널별_비용설정'!$D$6:$D$55,"&lt;="&amp;B162,'3_채널별_비용설정'!$O$6:$O$55,"&gt;="&amp;B162)))</f>
      </c>
      <c r="O162" s="12" t="str">
        <f>IF(J162="","",IF(J162&lt;&gt;"정상","비용 설정 필요",(D162*M162)+(E162*N162)))</f>
      </c>
      <c r="P162" s="12" t="str">
        <f>IF(J162="","",IF(J162&lt;&gt;"정상","비용 설정 필요",L162+O162+H162))</f>
      </c>
      <c r="Q162" s="13" t="str">
        <f>IF(J162="","",IF(J162&lt;&gt;"정상","비용 설정 필요",G162-P162))</f>
      </c>
      <c r="R162" s="14" t="str">
        <f>IF(J162="","",IF(J162&lt;&gt;"정상","비용 설정 필요",IFERROR(Q162/G162,0)))</f>
      </c>
    </row>
    <row r="163">
      <c r="B163" s="7"/>
      <c r="C163" s="5"/>
      <c r="D163" s="8"/>
      <c r="E163" s="8"/>
      <c r="F163" s="12" t="str">
        <f>IF(AND(B163="",C163=""),"",SUM(D163:E163))</f>
      </c>
      <c r="G163" s="8"/>
      <c r="H163" s="8"/>
      <c r="I163" s="6"/>
      <c r="J163" s="10" t="str">
        <f>IF(AND(B163="",C163=""),"",IF(OR(B163="",C163=""),"비용 설정 필요",IF(COUNTIFS('3_채널별_비용설정'!$C$6:$C$55,C163,'3_채널별_비용설정'!$D$6:$D$55,"&lt;="&amp;B163,'3_채널별_비용설정'!$O$6:$O$55,"&gt;="&amp;B163)=0,"비용 설정 필요",IF(COUNTIFS('3_채널별_비용설정'!$C$6:$C$55,C163,'3_채널별_비용설정'!$D$6:$D$55,"&lt;="&amp;B163,'3_채널별_비용설정'!$O$6:$O$55,"&gt;="&amp;B163)&gt;1,"기간 중복 확인","정상"))))</f>
      </c>
      <c r="K163" s="15" t="str">
        <f>IF(J163="","",IF(J163&lt;&gt;"정상","비용 설정 필요",SUMIFS('3_채널별_비용설정'!$F$6:$F$55,'3_채널별_비용설정'!$C$6:$C$55,C163,'3_채널별_비용설정'!$D$6:$D$55,"&lt;="&amp;B163,'3_채널별_비용설정'!$O$6:$O$55,"&gt;="&amp;B163)))</f>
      </c>
      <c r="L163" s="12" t="str">
        <f>IF(J163="","",IF(J163&lt;&gt;"정상","비용 설정 필요",ROUND(G163*K163,0)))</f>
      </c>
      <c r="M163" s="12" t="str">
        <f>IF(J163="","",IF(J163&lt;&gt;"정상","비용 설정 필요",SUMIFS('3_채널별_비용설정'!$L$6:$L$55,'3_채널별_비용설정'!$C$6:$C$55,C163,'3_채널별_비용설정'!$D$6:$D$55,"&lt;="&amp;B163,'3_채널별_비용설정'!$O$6:$O$55,"&gt;="&amp;B163)))</f>
      </c>
      <c r="N163" s="12" t="str">
        <f>IF(J163="","",IF(J163&lt;&gt;"정상","비용 설정 필요",SUMIFS('3_채널별_비용설정'!$M$6:$M$55,'3_채널별_비용설정'!$C$6:$C$55,C163,'3_채널별_비용설정'!$D$6:$D$55,"&lt;="&amp;B163,'3_채널별_비용설정'!$O$6:$O$55,"&gt;="&amp;B163)))</f>
      </c>
      <c r="O163" s="12" t="str">
        <f>IF(J163="","",IF(J163&lt;&gt;"정상","비용 설정 필요",(D163*M163)+(E163*N163)))</f>
      </c>
      <c r="P163" s="12" t="str">
        <f>IF(J163="","",IF(J163&lt;&gt;"정상","비용 설정 필요",L163+O163+H163))</f>
      </c>
      <c r="Q163" s="13" t="str">
        <f>IF(J163="","",IF(J163&lt;&gt;"정상","비용 설정 필요",G163-P163))</f>
      </c>
      <c r="R163" s="14" t="str">
        <f>IF(J163="","",IF(J163&lt;&gt;"정상","비용 설정 필요",IFERROR(Q163/G163,0)))</f>
      </c>
    </row>
    <row r="164">
      <c r="B164" s="7"/>
      <c r="C164" s="5"/>
      <c r="D164" s="8"/>
      <c r="E164" s="8"/>
      <c r="F164" s="12" t="str">
        <f>IF(AND(B164="",C164=""),"",SUM(D164:E164))</f>
      </c>
      <c r="G164" s="8"/>
      <c r="H164" s="8"/>
      <c r="I164" s="6"/>
      <c r="J164" s="10" t="str">
        <f>IF(AND(B164="",C164=""),"",IF(OR(B164="",C164=""),"비용 설정 필요",IF(COUNTIFS('3_채널별_비용설정'!$C$6:$C$55,C164,'3_채널별_비용설정'!$D$6:$D$55,"&lt;="&amp;B164,'3_채널별_비용설정'!$O$6:$O$55,"&gt;="&amp;B164)=0,"비용 설정 필요",IF(COUNTIFS('3_채널별_비용설정'!$C$6:$C$55,C164,'3_채널별_비용설정'!$D$6:$D$55,"&lt;="&amp;B164,'3_채널별_비용설정'!$O$6:$O$55,"&gt;="&amp;B164)&gt;1,"기간 중복 확인","정상"))))</f>
      </c>
      <c r="K164" s="15" t="str">
        <f>IF(J164="","",IF(J164&lt;&gt;"정상","비용 설정 필요",SUMIFS('3_채널별_비용설정'!$F$6:$F$55,'3_채널별_비용설정'!$C$6:$C$55,C164,'3_채널별_비용설정'!$D$6:$D$55,"&lt;="&amp;B164,'3_채널별_비용설정'!$O$6:$O$55,"&gt;="&amp;B164)))</f>
      </c>
      <c r="L164" s="12" t="str">
        <f>IF(J164="","",IF(J164&lt;&gt;"정상","비용 설정 필요",ROUND(G164*K164,0)))</f>
      </c>
      <c r="M164" s="12" t="str">
        <f>IF(J164="","",IF(J164&lt;&gt;"정상","비용 설정 필요",SUMIFS('3_채널별_비용설정'!$L$6:$L$55,'3_채널별_비용설정'!$C$6:$C$55,C164,'3_채널별_비용설정'!$D$6:$D$55,"&lt;="&amp;B164,'3_채널별_비용설정'!$O$6:$O$55,"&gt;="&amp;B164)))</f>
      </c>
      <c r="N164" s="12" t="str">
        <f>IF(J164="","",IF(J164&lt;&gt;"정상","비용 설정 필요",SUMIFS('3_채널별_비용설정'!$M$6:$M$55,'3_채널별_비용설정'!$C$6:$C$55,C164,'3_채널별_비용설정'!$D$6:$D$55,"&lt;="&amp;B164,'3_채널별_비용설정'!$O$6:$O$55,"&gt;="&amp;B164)))</f>
      </c>
      <c r="O164" s="12" t="str">
        <f>IF(J164="","",IF(J164&lt;&gt;"정상","비용 설정 필요",(D164*M164)+(E164*N164)))</f>
      </c>
      <c r="P164" s="12" t="str">
        <f>IF(J164="","",IF(J164&lt;&gt;"정상","비용 설정 필요",L164+O164+H164))</f>
      </c>
      <c r="Q164" s="13" t="str">
        <f>IF(J164="","",IF(J164&lt;&gt;"정상","비용 설정 필요",G164-P164))</f>
      </c>
      <c r="R164" s="14" t="str">
        <f>IF(J164="","",IF(J164&lt;&gt;"정상","비용 설정 필요",IFERROR(Q164/G164,0)))</f>
      </c>
    </row>
    <row r="165">
      <c r="B165" s="7"/>
      <c r="C165" s="5"/>
      <c r="D165" s="8"/>
      <c r="E165" s="8"/>
      <c r="F165" s="12" t="str">
        <f>IF(AND(B165="",C165=""),"",SUM(D165:E165))</f>
      </c>
      <c r="G165" s="8"/>
      <c r="H165" s="8"/>
      <c r="I165" s="6"/>
      <c r="J165" s="10" t="str">
        <f>IF(AND(B165="",C165=""),"",IF(OR(B165="",C165=""),"비용 설정 필요",IF(COUNTIFS('3_채널별_비용설정'!$C$6:$C$55,C165,'3_채널별_비용설정'!$D$6:$D$55,"&lt;="&amp;B165,'3_채널별_비용설정'!$O$6:$O$55,"&gt;="&amp;B165)=0,"비용 설정 필요",IF(COUNTIFS('3_채널별_비용설정'!$C$6:$C$55,C165,'3_채널별_비용설정'!$D$6:$D$55,"&lt;="&amp;B165,'3_채널별_비용설정'!$O$6:$O$55,"&gt;="&amp;B165)&gt;1,"기간 중복 확인","정상"))))</f>
      </c>
      <c r="K165" s="15" t="str">
        <f>IF(J165="","",IF(J165&lt;&gt;"정상","비용 설정 필요",SUMIFS('3_채널별_비용설정'!$F$6:$F$55,'3_채널별_비용설정'!$C$6:$C$55,C165,'3_채널별_비용설정'!$D$6:$D$55,"&lt;="&amp;B165,'3_채널별_비용설정'!$O$6:$O$55,"&gt;="&amp;B165)))</f>
      </c>
      <c r="L165" s="12" t="str">
        <f>IF(J165="","",IF(J165&lt;&gt;"정상","비용 설정 필요",ROUND(G165*K165,0)))</f>
      </c>
      <c r="M165" s="12" t="str">
        <f>IF(J165="","",IF(J165&lt;&gt;"정상","비용 설정 필요",SUMIFS('3_채널별_비용설정'!$L$6:$L$55,'3_채널별_비용설정'!$C$6:$C$55,C165,'3_채널별_비용설정'!$D$6:$D$55,"&lt;="&amp;B165,'3_채널별_비용설정'!$O$6:$O$55,"&gt;="&amp;B165)))</f>
      </c>
      <c r="N165" s="12" t="str">
        <f>IF(J165="","",IF(J165&lt;&gt;"정상","비용 설정 필요",SUMIFS('3_채널별_비용설정'!$M$6:$M$55,'3_채널별_비용설정'!$C$6:$C$55,C165,'3_채널별_비용설정'!$D$6:$D$55,"&lt;="&amp;B165,'3_채널별_비용설정'!$O$6:$O$55,"&gt;="&amp;B165)))</f>
      </c>
      <c r="O165" s="12" t="str">
        <f>IF(J165="","",IF(J165&lt;&gt;"정상","비용 설정 필요",(D165*M165)+(E165*N165)))</f>
      </c>
      <c r="P165" s="12" t="str">
        <f>IF(J165="","",IF(J165&lt;&gt;"정상","비용 설정 필요",L165+O165+H165))</f>
      </c>
      <c r="Q165" s="13" t="str">
        <f>IF(J165="","",IF(J165&lt;&gt;"정상","비용 설정 필요",G165-P165))</f>
      </c>
      <c r="R165" s="14" t="str">
        <f>IF(J165="","",IF(J165&lt;&gt;"정상","비용 설정 필요",IFERROR(Q165/G165,0)))</f>
      </c>
    </row>
    <row r="166">
      <c r="B166" s="7"/>
      <c r="C166" s="5"/>
      <c r="D166" s="8"/>
      <c r="E166" s="8"/>
      <c r="F166" s="12" t="str">
        <f>IF(AND(B166="",C166=""),"",SUM(D166:E166))</f>
      </c>
      <c r="G166" s="8"/>
      <c r="H166" s="8"/>
      <c r="I166" s="6"/>
      <c r="J166" s="10" t="str">
        <f>IF(AND(B166="",C166=""),"",IF(OR(B166="",C166=""),"비용 설정 필요",IF(COUNTIFS('3_채널별_비용설정'!$C$6:$C$55,C166,'3_채널별_비용설정'!$D$6:$D$55,"&lt;="&amp;B166,'3_채널별_비용설정'!$O$6:$O$55,"&gt;="&amp;B166)=0,"비용 설정 필요",IF(COUNTIFS('3_채널별_비용설정'!$C$6:$C$55,C166,'3_채널별_비용설정'!$D$6:$D$55,"&lt;="&amp;B166,'3_채널별_비용설정'!$O$6:$O$55,"&gt;="&amp;B166)&gt;1,"기간 중복 확인","정상"))))</f>
      </c>
      <c r="K166" s="15" t="str">
        <f>IF(J166="","",IF(J166&lt;&gt;"정상","비용 설정 필요",SUMIFS('3_채널별_비용설정'!$F$6:$F$55,'3_채널별_비용설정'!$C$6:$C$55,C166,'3_채널별_비용설정'!$D$6:$D$55,"&lt;="&amp;B166,'3_채널별_비용설정'!$O$6:$O$55,"&gt;="&amp;B166)))</f>
      </c>
      <c r="L166" s="12" t="str">
        <f>IF(J166="","",IF(J166&lt;&gt;"정상","비용 설정 필요",ROUND(G166*K166,0)))</f>
      </c>
      <c r="M166" s="12" t="str">
        <f>IF(J166="","",IF(J166&lt;&gt;"정상","비용 설정 필요",SUMIFS('3_채널별_비용설정'!$L$6:$L$55,'3_채널별_비용설정'!$C$6:$C$55,C166,'3_채널별_비용설정'!$D$6:$D$55,"&lt;="&amp;B166,'3_채널별_비용설정'!$O$6:$O$55,"&gt;="&amp;B166)))</f>
      </c>
      <c r="N166" s="12" t="str">
        <f>IF(J166="","",IF(J166&lt;&gt;"정상","비용 설정 필요",SUMIFS('3_채널별_비용설정'!$M$6:$M$55,'3_채널별_비용설정'!$C$6:$C$55,C166,'3_채널별_비용설정'!$D$6:$D$55,"&lt;="&amp;B166,'3_채널별_비용설정'!$O$6:$O$55,"&gt;="&amp;B166)))</f>
      </c>
      <c r="O166" s="12" t="str">
        <f>IF(J166="","",IF(J166&lt;&gt;"정상","비용 설정 필요",(D166*M166)+(E166*N166)))</f>
      </c>
      <c r="P166" s="12" t="str">
        <f>IF(J166="","",IF(J166&lt;&gt;"정상","비용 설정 필요",L166+O166+H166))</f>
      </c>
      <c r="Q166" s="13" t="str">
        <f>IF(J166="","",IF(J166&lt;&gt;"정상","비용 설정 필요",G166-P166))</f>
      </c>
      <c r="R166" s="14" t="str">
        <f>IF(J166="","",IF(J166&lt;&gt;"정상","비용 설정 필요",IFERROR(Q166/G166,0)))</f>
      </c>
    </row>
    <row r="167">
      <c r="B167" s="7"/>
      <c r="C167" s="5"/>
      <c r="D167" s="8"/>
      <c r="E167" s="8"/>
      <c r="F167" s="12" t="str">
        <f>IF(AND(B167="",C167=""),"",SUM(D167:E167))</f>
      </c>
      <c r="G167" s="8"/>
      <c r="H167" s="8"/>
      <c r="I167" s="6"/>
      <c r="J167" s="10" t="str">
        <f>IF(AND(B167="",C167=""),"",IF(OR(B167="",C167=""),"비용 설정 필요",IF(COUNTIFS('3_채널별_비용설정'!$C$6:$C$55,C167,'3_채널별_비용설정'!$D$6:$D$55,"&lt;="&amp;B167,'3_채널별_비용설정'!$O$6:$O$55,"&gt;="&amp;B167)=0,"비용 설정 필요",IF(COUNTIFS('3_채널별_비용설정'!$C$6:$C$55,C167,'3_채널별_비용설정'!$D$6:$D$55,"&lt;="&amp;B167,'3_채널별_비용설정'!$O$6:$O$55,"&gt;="&amp;B167)&gt;1,"기간 중복 확인","정상"))))</f>
      </c>
      <c r="K167" s="15" t="str">
        <f>IF(J167="","",IF(J167&lt;&gt;"정상","비용 설정 필요",SUMIFS('3_채널별_비용설정'!$F$6:$F$55,'3_채널별_비용설정'!$C$6:$C$55,C167,'3_채널별_비용설정'!$D$6:$D$55,"&lt;="&amp;B167,'3_채널별_비용설정'!$O$6:$O$55,"&gt;="&amp;B167)))</f>
      </c>
      <c r="L167" s="12" t="str">
        <f>IF(J167="","",IF(J167&lt;&gt;"정상","비용 설정 필요",ROUND(G167*K167,0)))</f>
      </c>
      <c r="M167" s="12" t="str">
        <f>IF(J167="","",IF(J167&lt;&gt;"정상","비용 설정 필요",SUMIFS('3_채널별_비용설정'!$L$6:$L$55,'3_채널별_비용설정'!$C$6:$C$55,C167,'3_채널별_비용설정'!$D$6:$D$55,"&lt;="&amp;B167,'3_채널별_비용설정'!$O$6:$O$55,"&gt;="&amp;B167)))</f>
      </c>
      <c r="N167" s="12" t="str">
        <f>IF(J167="","",IF(J167&lt;&gt;"정상","비용 설정 필요",SUMIFS('3_채널별_비용설정'!$M$6:$M$55,'3_채널별_비용설정'!$C$6:$C$55,C167,'3_채널별_비용설정'!$D$6:$D$55,"&lt;="&amp;B167,'3_채널별_비용설정'!$O$6:$O$55,"&gt;="&amp;B167)))</f>
      </c>
      <c r="O167" s="12" t="str">
        <f>IF(J167="","",IF(J167&lt;&gt;"정상","비용 설정 필요",(D167*M167)+(E167*N167)))</f>
      </c>
      <c r="P167" s="12" t="str">
        <f>IF(J167="","",IF(J167&lt;&gt;"정상","비용 설정 필요",L167+O167+H167))</f>
      </c>
      <c r="Q167" s="13" t="str">
        <f>IF(J167="","",IF(J167&lt;&gt;"정상","비용 설정 필요",G167-P167))</f>
      </c>
      <c r="R167" s="14" t="str">
        <f>IF(J167="","",IF(J167&lt;&gt;"정상","비용 설정 필요",IFERROR(Q167/G167,0)))</f>
      </c>
    </row>
    <row r="168">
      <c r="B168" s="7"/>
      <c r="C168" s="5"/>
      <c r="D168" s="8"/>
      <c r="E168" s="8"/>
      <c r="F168" s="12" t="str">
        <f>IF(AND(B168="",C168=""),"",SUM(D168:E168))</f>
      </c>
      <c r="G168" s="8"/>
      <c r="H168" s="8"/>
      <c r="I168" s="6"/>
      <c r="J168" s="10" t="str">
        <f>IF(AND(B168="",C168=""),"",IF(OR(B168="",C168=""),"비용 설정 필요",IF(COUNTIFS('3_채널별_비용설정'!$C$6:$C$55,C168,'3_채널별_비용설정'!$D$6:$D$55,"&lt;="&amp;B168,'3_채널별_비용설정'!$O$6:$O$55,"&gt;="&amp;B168)=0,"비용 설정 필요",IF(COUNTIFS('3_채널별_비용설정'!$C$6:$C$55,C168,'3_채널별_비용설정'!$D$6:$D$55,"&lt;="&amp;B168,'3_채널별_비용설정'!$O$6:$O$55,"&gt;="&amp;B168)&gt;1,"기간 중복 확인","정상"))))</f>
      </c>
      <c r="K168" s="15" t="str">
        <f>IF(J168="","",IF(J168&lt;&gt;"정상","비용 설정 필요",SUMIFS('3_채널별_비용설정'!$F$6:$F$55,'3_채널별_비용설정'!$C$6:$C$55,C168,'3_채널별_비용설정'!$D$6:$D$55,"&lt;="&amp;B168,'3_채널별_비용설정'!$O$6:$O$55,"&gt;="&amp;B168)))</f>
      </c>
      <c r="L168" s="12" t="str">
        <f>IF(J168="","",IF(J168&lt;&gt;"정상","비용 설정 필요",ROUND(G168*K168,0)))</f>
      </c>
      <c r="M168" s="12" t="str">
        <f>IF(J168="","",IF(J168&lt;&gt;"정상","비용 설정 필요",SUMIFS('3_채널별_비용설정'!$L$6:$L$55,'3_채널별_비용설정'!$C$6:$C$55,C168,'3_채널별_비용설정'!$D$6:$D$55,"&lt;="&amp;B168,'3_채널별_비용설정'!$O$6:$O$55,"&gt;="&amp;B168)))</f>
      </c>
      <c r="N168" s="12" t="str">
        <f>IF(J168="","",IF(J168&lt;&gt;"정상","비용 설정 필요",SUMIFS('3_채널별_비용설정'!$M$6:$M$55,'3_채널별_비용설정'!$C$6:$C$55,C168,'3_채널별_비용설정'!$D$6:$D$55,"&lt;="&amp;B168,'3_채널별_비용설정'!$O$6:$O$55,"&gt;="&amp;B168)))</f>
      </c>
      <c r="O168" s="12" t="str">
        <f>IF(J168="","",IF(J168&lt;&gt;"정상","비용 설정 필요",(D168*M168)+(E168*N168)))</f>
      </c>
      <c r="P168" s="12" t="str">
        <f>IF(J168="","",IF(J168&lt;&gt;"정상","비용 설정 필요",L168+O168+H168))</f>
      </c>
      <c r="Q168" s="13" t="str">
        <f>IF(J168="","",IF(J168&lt;&gt;"정상","비용 설정 필요",G168-P168))</f>
      </c>
      <c r="R168" s="14" t="str">
        <f>IF(J168="","",IF(J168&lt;&gt;"정상","비용 설정 필요",IFERROR(Q168/G168,0)))</f>
      </c>
    </row>
    <row r="169">
      <c r="B169" s="7"/>
      <c r="C169" s="5"/>
      <c r="D169" s="8"/>
      <c r="E169" s="8"/>
      <c r="F169" s="12" t="str">
        <f>IF(AND(B169="",C169=""),"",SUM(D169:E169))</f>
      </c>
      <c r="G169" s="8"/>
      <c r="H169" s="8"/>
      <c r="I169" s="6"/>
      <c r="J169" s="10" t="str">
        <f>IF(AND(B169="",C169=""),"",IF(OR(B169="",C169=""),"비용 설정 필요",IF(COUNTIFS('3_채널별_비용설정'!$C$6:$C$55,C169,'3_채널별_비용설정'!$D$6:$D$55,"&lt;="&amp;B169,'3_채널별_비용설정'!$O$6:$O$55,"&gt;="&amp;B169)=0,"비용 설정 필요",IF(COUNTIFS('3_채널별_비용설정'!$C$6:$C$55,C169,'3_채널별_비용설정'!$D$6:$D$55,"&lt;="&amp;B169,'3_채널별_비용설정'!$O$6:$O$55,"&gt;="&amp;B169)&gt;1,"기간 중복 확인","정상"))))</f>
      </c>
      <c r="K169" s="15" t="str">
        <f>IF(J169="","",IF(J169&lt;&gt;"정상","비용 설정 필요",SUMIFS('3_채널별_비용설정'!$F$6:$F$55,'3_채널별_비용설정'!$C$6:$C$55,C169,'3_채널별_비용설정'!$D$6:$D$55,"&lt;="&amp;B169,'3_채널별_비용설정'!$O$6:$O$55,"&gt;="&amp;B169)))</f>
      </c>
      <c r="L169" s="12" t="str">
        <f>IF(J169="","",IF(J169&lt;&gt;"정상","비용 설정 필요",ROUND(G169*K169,0)))</f>
      </c>
      <c r="M169" s="12" t="str">
        <f>IF(J169="","",IF(J169&lt;&gt;"정상","비용 설정 필요",SUMIFS('3_채널별_비용설정'!$L$6:$L$55,'3_채널별_비용설정'!$C$6:$C$55,C169,'3_채널별_비용설정'!$D$6:$D$55,"&lt;="&amp;B169,'3_채널별_비용설정'!$O$6:$O$55,"&gt;="&amp;B169)))</f>
      </c>
      <c r="N169" s="12" t="str">
        <f>IF(J169="","",IF(J169&lt;&gt;"정상","비용 설정 필요",SUMIFS('3_채널별_비용설정'!$M$6:$M$55,'3_채널별_비용설정'!$C$6:$C$55,C169,'3_채널별_비용설정'!$D$6:$D$55,"&lt;="&amp;B169,'3_채널별_비용설정'!$O$6:$O$55,"&gt;="&amp;B169)))</f>
      </c>
      <c r="O169" s="12" t="str">
        <f>IF(J169="","",IF(J169&lt;&gt;"정상","비용 설정 필요",(D169*M169)+(E169*N169)))</f>
      </c>
      <c r="P169" s="12" t="str">
        <f>IF(J169="","",IF(J169&lt;&gt;"정상","비용 설정 필요",L169+O169+H169))</f>
      </c>
      <c r="Q169" s="13" t="str">
        <f>IF(J169="","",IF(J169&lt;&gt;"정상","비용 설정 필요",G169-P169))</f>
      </c>
      <c r="R169" s="14" t="str">
        <f>IF(J169="","",IF(J169&lt;&gt;"정상","비용 설정 필요",IFERROR(Q169/G169,0)))</f>
      </c>
    </row>
    <row r="170">
      <c r="B170" s="7"/>
      <c r="C170" s="5"/>
      <c r="D170" s="8"/>
      <c r="E170" s="8"/>
      <c r="F170" s="12" t="str">
        <f>IF(AND(B170="",C170=""),"",SUM(D170:E170))</f>
      </c>
      <c r="G170" s="8"/>
      <c r="H170" s="8"/>
      <c r="I170" s="6"/>
      <c r="J170" s="10" t="str">
        <f>IF(AND(B170="",C170=""),"",IF(OR(B170="",C170=""),"비용 설정 필요",IF(COUNTIFS('3_채널별_비용설정'!$C$6:$C$55,C170,'3_채널별_비용설정'!$D$6:$D$55,"&lt;="&amp;B170,'3_채널별_비용설정'!$O$6:$O$55,"&gt;="&amp;B170)=0,"비용 설정 필요",IF(COUNTIFS('3_채널별_비용설정'!$C$6:$C$55,C170,'3_채널별_비용설정'!$D$6:$D$55,"&lt;="&amp;B170,'3_채널별_비용설정'!$O$6:$O$55,"&gt;="&amp;B170)&gt;1,"기간 중복 확인","정상"))))</f>
      </c>
      <c r="K170" s="15" t="str">
        <f>IF(J170="","",IF(J170&lt;&gt;"정상","비용 설정 필요",SUMIFS('3_채널별_비용설정'!$F$6:$F$55,'3_채널별_비용설정'!$C$6:$C$55,C170,'3_채널별_비용설정'!$D$6:$D$55,"&lt;="&amp;B170,'3_채널별_비용설정'!$O$6:$O$55,"&gt;="&amp;B170)))</f>
      </c>
      <c r="L170" s="12" t="str">
        <f>IF(J170="","",IF(J170&lt;&gt;"정상","비용 설정 필요",ROUND(G170*K170,0)))</f>
      </c>
      <c r="M170" s="12" t="str">
        <f>IF(J170="","",IF(J170&lt;&gt;"정상","비용 설정 필요",SUMIFS('3_채널별_비용설정'!$L$6:$L$55,'3_채널별_비용설정'!$C$6:$C$55,C170,'3_채널별_비용설정'!$D$6:$D$55,"&lt;="&amp;B170,'3_채널별_비용설정'!$O$6:$O$55,"&gt;="&amp;B170)))</f>
      </c>
      <c r="N170" s="12" t="str">
        <f>IF(J170="","",IF(J170&lt;&gt;"정상","비용 설정 필요",SUMIFS('3_채널별_비용설정'!$M$6:$M$55,'3_채널별_비용설정'!$C$6:$C$55,C170,'3_채널별_비용설정'!$D$6:$D$55,"&lt;="&amp;B170,'3_채널별_비용설정'!$O$6:$O$55,"&gt;="&amp;B170)))</f>
      </c>
      <c r="O170" s="12" t="str">
        <f>IF(J170="","",IF(J170&lt;&gt;"정상","비용 설정 필요",(D170*M170)+(E170*N170)))</f>
      </c>
      <c r="P170" s="12" t="str">
        <f>IF(J170="","",IF(J170&lt;&gt;"정상","비용 설정 필요",L170+O170+H170))</f>
      </c>
      <c r="Q170" s="13" t="str">
        <f>IF(J170="","",IF(J170&lt;&gt;"정상","비용 설정 필요",G170-P170))</f>
      </c>
      <c r="R170" s="14" t="str">
        <f>IF(J170="","",IF(J170&lt;&gt;"정상","비용 설정 필요",IFERROR(Q170/G170,0)))</f>
      </c>
    </row>
    <row r="171">
      <c r="B171" s="7"/>
      <c r="C171" s="5"/>
      <c r="D171" s="8"/>
      <c r="E171" s="8"/>
      <c r="F171" s="12" t="str">
        <f>IF(AND(B171="",C171=""),"",SUM(D171:E171))</f>
      </c>
      <c r="G171" s="8"/>
      <c r="H171" s="8"/>
      <c r="I171" s="6"/>
      <c r="J171" s="10" t="str">
        <f>IF(AND(B171="",C171=""),"",IF(OR(B171="",C171=""),"비용 설정 필요",IF(COUNTIFS('3_채널별_비용설정'!$C$6:$C$55,C171,'3_채널별_비용설정'!$D$6:$D$55,"&lt;="&amp;B171,'3_채널별_비용설정'!$O$6:$O$55,"&gt;="&amp;B171)=0,"비용 설정 필요",IF(COUNTIFS('3_채널별_비용설정'!$C$6:$C$55,C171,'3_채널별_비용설정'!$D$6:$D$55,"&lt;="&amp;B171,'3_채널별_비용설정'!$O$6:$O$55,"&gt;="&amp;B171)&gt;1,"기간 중복 확인","정상"))))</f>
      </c>
      <c r="K171" s="15" t="str">
        <f>IF(J171="","",IF(J171&lt;&gt;"정상","비용 설정 필요",SUMIFS('3_채널별_비용설정'!$F$6:$F$55,'3_채널별_비용설정'!$C$6:$C$55,C171,'3_채널별_비용설정'!$D$6:$D$55,"&lt;="&amp;B171,'3_채널별_비용설정'!$O$6:$O$55,"&gt;="&amp;B171)))</f>
      </c>
      <c r="L171" s="12" t="str">
        <f>IF(J171="","",IF(J171&lt;&gt;"정상","비용 설정 필요",ROUND(G171*K171,0)))</f>
      </c>
      <c r="M171" s="12" t="str">
        <f>IF(J171="","",IF(J171&lt;&gt;"정상","비용 설정 필요",SUMIFS('3_채널별_비용설정'!$L$6:$L$55,'3_채널별_비용설정'!$C$6:$C$55,C171,'3_채널별_비용설정'!$D$6:$D$55,"&lt;="&amp;B171,'3_채널별_비용설정'!$O$6:$O$55,"&gt;="&amp;B171)))</f>
      </c>
      <c r="N171" s="12" t="str">
        <f>IF(J171="","",IF(J171&lt;&gt;"정상","비용 설정 필요",SUMIFS('3_채널별_비용설정'!$M$6:$M$55,'3_채널별_비용설정'!$C$6:$C$55,C171,'3_채널별_비용설정'!$D$6:$D$55,"&lt;="&amp;B171,'3_채널별_비용설정'!$O$6:$O$55,"&gt;="&amp;B171)))</f>
      </c>
      <c r="O171" s="12" t="str">
        <f>IF(J171="","",IF(J171&lt;&gt;"정상","비용 설정 필요",(D171*M171)+(E171*N171)))</f>
      </c>
      <c r="P171" s="12" t="str">
        <f>IF(J171="","",IF(J171&lt;&gt;"정상","비용 설정 필요",L171+O171+H171))</f>
      </c>
      <c r="Q171" s="13" t="str">
        <f>IF(J171="","",IF(J171&lt;&gt;"정상","비용 설정 필요",G171-P171))</f>
      </c>
      <c r="R171" s="14" t="str">
        <f>IF(J171="","",IF(J171&lt;&gt;"정상","비용 설정 필요",IFERROR(Q171/G171,0)))</f>
      </c>
    </row>
    <row r="172">
      <c r="B172" s="7"/>
      <c r="C172" s="5"/>
      <c r="D172" s="8"/>
      <c r="E172" s="8"/>
      <c r="F172" s="12" t="str">
        <f>IF(AND(B172="",C172=""),"",SUM(D172:E172))</f>
      </c>
      <c r="G172" s="8"/>
      <c r="H172" s="8"/>
      <c r="I172" s="6"/>
      <c r="J172" s="10" t="str">
        <f>IF(AND(B172="",C172=""),"",IF(OR(B172="",C172=""),"비용 설정 필요",IF(COUNTIFS('3_채널별_비용설정'!$C$6:$C$55,C172,'3_채널별_비용설정'!$D$6:$D$55,"&lt;="&amp;B172,'3_채널별_비용설정'!$O$6:$O$55,"&gt;="&amp;B172)=0,"비용 설정 필요",IF(COUNTIFS('3_채널별_비용설정'!$C$6:$C$55,C172,'3_채널별_비용설정'!$D$6:$D$55,"&lt;="&amp;B172,'3_채널별_비용설정'!$O$6:$O$55,"&gt;="&amp;B172)&gt;1,"기간 중복 확인","정상"))))</f>
      </c>
      <c r="K172" s="15" t="str">
        <f>IF(J172="","",IF(J172&lt;&gt;"정상","비용 설정 필요",SUMIFS('3_채널별_비용설정'!$F$6:$F$55,'3_채널별_비용설정'!$C$6:$C$55,C172,'3_채널별_비용설정'!$D$6:$D$55,"&lt;="&amp;B172,'3_채널별_비용설정'!$O$6:$O$55,"&gt;="&amp;B172)))</f>
      </c>
      <c r="L172" s="12" t="str">
        <f>IF(J172="","",IF(J172&lt;&gt;"정상","비용 설정 필요",ROUND(G172*K172,0)))</f>
      </c>
      <c r="M172" s="12" t="str">
        <f>IF(J172="","",IF(J172&lt;&gt;"정상","비용 설정 필요",SUMIFS('3_채널별_비용설정'!$L$6:$L$55,'3_채널별_비용설정'!$C$6:$C$55,C172,'3_채널별_비용설정'!$D$6:$D$55,"&lt;="&amp;B172,'3_채널별_비용설정'!$O$6:$O$55,"&gt;="&amp;B172)))</f>
      </c>
      <c r="N172" s="12" t="str">
        <f>IF(J172="","",IF(J172&lt;&gt;"정상","비용 설정 필요",SUMIFS('3_채널별_비용설정'!$M$6:$M$55,'3_채널별_비용설정'!$C$6:$C$55,C172,'3_채널별_비용설정'!$D$6:$D$55,"&lt;="&amp;B172,'3_채널별_비용설정'!$O$6:$O$55,"&gt;="&amp;B172)))</f>
      </c>
      <c r="O172" s="12" t="str">
        <f>IF(J172="","",IF(J172&lt;&gt;"정상","비용 설정 필요",(D172*M172)+(E172*N172)))</f>
      </c>
      <c r="P172" s="12" t="str">
        <f>IF(J172="","",IF(J172&lt;&gt;"정상","비용 설정 필요",L172+O172+H172))</f>
      </c>
      <c r="Q172" s="13" t="str">
        <f>IF(J172="","",IF(J172&lt;&gt;"정상","비용 설정 필요",G172-P172))</f>
      </c>
      <c r="R172" s="14" t="str">
        <f>IF(J172="","",IF(J172&lt;&gt;"정상","비용 설정 필요",IFERROR(Q172/G172,0)))</f>
      </c>
    </row>
    <row r="173">
      <c r="B173" s="7"/>
      <c r="C173" s="5"/>
      <c r="D173" s="8"/>
      <c r="E173" s="8"/>
      <c r="F173" s="12" t="str">
        <f>IF(AND(B173="",C173=""),"",SUM(D173:E173))</f>
      </c>
      <c r="G173" s="8"/>
      <c r="H173" s="8"/>
      <c r="I173" s="6"/>
      <c r="J173" s="10" t="str">
        <f>IF(AND(B173="",C173=""),"",IF(OR(B173="",C173=""),"비용 설정 필요",IF(COUNTIFS('3_채널별_비용설정'!$C$6:$C$55,C173,'3_채널별_비용설정'!$D$6:$D$55,"&lt;="&amp;B173,'3_채널별_비용설정'!$O$6:$O$55,"&gt;="&amp;B173)=0,"비용 설정 필요",IF(COUNTIFS('3_채널별_비용설정'!$C$6:$C$55,C173,'3_채널별_비용설정'!$D$6:$D$55,"&lt;="&amp;B173,'3_채널별_비용설정'!$O$6:$O$55,"&gt;="&amp;B173)&gt;1,"기간 중복 확인","정상"))))</f>
      </c>
      <c r="K173" s="15" t="str">
        <f>IF(J173="","",IF(J173&lt;&gt;"정상","비용 설정 필요",SUMIFS('3_채널별_비용설정'!$F$6:$F$55,'3_채널별_비용설정'!$C$6:$C$55,C173,'3_채널별_비용설정'!$D$6:$D$55,"&lt;="&amp;B173,'3_채널별_비용설정'!$O$6:$O$55,"&gt;="&amp;B173)))</f>
      </c>
      <c r="L173" s="12" t="str">
        <f>IF(J173="","",IF(J173&lt;&gt;"정상","비용 설정 필요",ROUND(G173*K173,0)))</f>
      </c>
      <c r="M173" s="12" t="str">
        <f>IF(J173="","",IF(J173&lt;&gt;"정상","비용 설정 필요",SUMIFS('3_채널별_비용설정'!$L$6:$L$55,'3_채널별_비용설정'!$C$6:$C$55,C173,'3_채널별_비용설정'!$D$6:$D$55,"&lt;="&amp;B173,'3_채널별_비용설정'!$O$6:$O$55,"&gt;="&amp;B173)))</f>
      </c>
      <c r="N173" s="12" t="str">
        <f>IF(J173="","",IF(J173&lt;&gt;"정상","비용 설정 필요",SUMIFS('3_채널별_비용설정'!$M$6:$M$55,'3_채널별_비용설정'!$C$6:$C$55,C173,'3_채널별_비용설정'!$D$6:$D$55,"&lt;="&amp;B173,'3_채널별_비용설정'!$O$6:$O$55,"&gt;="&amp;B173)))</f>
      </c>
      <c r="O173" s="12" t="str">
        <f>IF(J173="","",IF(J173&lt;&gt;"정상","비용 설정 필요",(D173*M173)+(E173*N173)))</f>
      </c>
      <c r="P173" s="12" t="str">
        <f>IF(J173="","",IF(J173&lt;&gt;"정상","비용 설정 필요",L173+O173+H173))</f>
      </c>
      <c r="Q173" s="13" t="str">
        <f>IF(J173="","",IF(J173&lt;&gt;"정상","비용 설정 필요",G173-P173))</f>
      </c>
      <c r="R173" s="14" t="str">
        <f>IF(J173="","",IF(J173&lt;&gt;"정상","비용 설정 필요",IFERROR(Q173/G173,0)))</f>
      </c>
    </row>
    <row r="174">
      <c r="B174" s="7"/>
      <c r="C174" s="5"/>
      <c r="D174" s="8"/>
      <c r="E174" s="8"/>
      <c r="F174" s="12" t="str">
        <f>IF(AND(B174="",C174=""),"",SUM(D174:E174))</f>
      </c>
      <c r="G174" s="8"/>
      <c r="H174" s="8"/>
      <c r="I174" s="6"/>
      <c r="J174" s="10" t="str">
        <f>IF(AND(B174="",C174=""),"",IF(OR(B174="",C174=""),"비용 설정 필요",IF(COUNTIFS('3_채널별_비용설정'!$C$6:$C$55,C174,'3_채널별_비용설정'!$D$6:$D$55,"&lt;="&amp;B174,'3_채널별_비용설정'!$O$6:$O$55,"&gt;="&amp;B174)=0,"비용 설정 필요",IF(COUNTIFS('3_채널별_비용설정'!$C$6:$C$55,C174,'3_채널별_비용설정'!$D$6:$D$55,"&lt;="&amp;B174,'3_채널별_비용설정'!$O$6:$O$55,"&gt;="&amp;B174)&gt;1,"기간 중복 확인","정상"))))</f>
      </c>
      <c r="K174" s="15" t="str">
        <f>IF(J174="","",IF(J174&lt;&gt;"정상","비용 설정 필요",SUMIFS('3_채널별_비용설정'!$F$6:$F$55,'3_채널별_비용설정'!$C$6:$C$55,C174,'3_채널별_비용설정'!$D$6:$D$55,"&lt;="&amp;B174,'3_채널별_비용설정'!$O$6:$O$55,"&gt;="&amp;B174)))</f>
      </c>
      <c r="L174" s="12" t="str">
        <f>IF(J174="","",IF(J174&lt;&gt;"정상","비용 설정 필요",ROUND(G174*K174,0)))</f>
      </c>
      <c r="M174" s="12" t="str">
        <f>IF(J174="","",IF(J174&lt;&gt;"정상","비용 설정 필요",SUMIFS('3_채널별_비용설정'!$L$6:$L$55,'3_채널별_비용설정'!$C$6:$C$55,C174,'3_채널별_비용설정'!$D$6:$D$55,"&lt;="&amp;B174,'3_채널별_비용설정'!$O$6:$O$55,"&gt;="&amp;B174)))</f>
      </c>
      <c r="N174" s="12" t="str">
        <f>IF(J174="","",IF(J174&lt;&gt;"정상","비용 설정 필요",SUMIFS('3_채널별_비용설정'!$M$6:$M$55,'3_채널별_비용설정'!$C$6:$C$55,C174,'3_채널별_비용설정'!$D$6:$D$55,"&lt;="&amp;B174,'3_채널별_비용설정'!$O$6:$O$55,"&gt;="&amp;B174)))</f>
      </c>
      <c r="O174" s="12" t="str">
        <f>IF(J174="","",IF(J174&lt;&gt;"정상","비용 설정 필요",(D174*M174)+(E174*N174)))</f>
      </c>
      <c r="P174" s="12" t="str">
        <f>IF(J174="","",IF(J174&lt;&gt;"정상","비용 설정 필요",L174+O174+H174))</f>
      </c>
      <c r="Q174" s="13" t="str">
        <f>IF(J174="","",IF(J174&lt;&gt;"정상","비용 설정 필요",G174-P174))</f>
      </c>
      <c r="R174" s="14" t="str">
        <f>IF(J174="","",IF(J174&lt;&gt;"정상","비용 설정 필요",IFERROR(Q174/G174,0)))</f>
      </c>
    </row>
    <row r="175">
      <c r="B175" s="7"/>
      <c r="C175" s="5"/>
      <c r="D175" s="8"/>
      <c r="E175" s="8"/>
      <c r="F175" s="12" t="str">
        <f>IF(AND(B175="",C175=""),"",SUM(D175:E175))</f>
      </c>
      <c r="G175" s="8"/>
      <c r="H175" s="8"/>
      <c r="I175" s="6"/>
      <c r="J175" s="10" t="str">
        <f>IF(AND(B175="",C175=""),"",IF(OR(B175="",C175=""),"비용 설정 필요",IF(COUNTIFS('3_채널별_비용설정'!$C$6:$C$55,C175,'3_채널별_비용설정'!$D$6:$D$55,"&lt;="&amp;B175,'3_채널별_비용설정'!$O$6:$O$55,"&gt;="&amp;B175)=0,"비용 설정 필요",IF(COUNTIFS('3_채널별_비용설정'!$C$6:$C$55,C175,'3_채널별_비용설정'!$D$6:$D$55,"&lt;="&amp;B175,'3_채널별_비용설정'!$O$6:$O$55,"&gt;="&amp;B175)&gt;1,"기간 중복 확인","정상"))))</f>
      </c>
      <c r="K175" s="15" t="str">
        <f>IF(J175="","",IF(J175&lt;&gt;"정상","비용 설정 필요",SUMIFS('3_채널별_비용설정'!$F$6:$F$55,'3_채널별_비용설정'!$C$6:$C$55,C175,'3_채널별_비용설정'!$D$6:$D$55,"&lt;="&amp;B175,'3_채널별_비용설정'!$O$6:$O$55,"&gt;="&amp;B175)))</f>
      </c>
      <c r="L175" s="12" t="str">
        <f>IF(J175="","",IF(J175&lt;&gt;"정상","비용 설정 필요",ROUND(G175*K175,0)))</f>
      </c>
      <c r="M175" s="12" t="str">
        <f>IF(J175="","",IF(J175&lt;&gt;"정상","비용 설정 필요",SUMIFS('3_채널별_비용설정'!$L$6:$L$55,'3_채널별_비용설정'!$C$6:$C$55,C175,'3_채널별_비용설정'!$D$6:$D$55,"&lt;="&amp;B175,'3_채널별_비용설정'!$O$6:$O$55,"&gt;="&amp;B175)))</f>
      </c>
      <c r="N175" s="12" t="str">
        <f>IF(J175="","",IF(J175&lt;&gt;"정상","비용 설정 필요",SUMIFS('3_채널별_비용설정'!$M$6:$M$55,'3_채널별_비용설정'!$C$6:$C$55,C175,'3_채널별_비용설정'!$D$6:$D$55,"&lt;="&amp;B175,'3_채널별_비용설정'!$O$6:$O$55,"&gt;="&amp;B175)))</f>
      </c>
      <c r="O175" s="12" t="str">
        <f>IF(J175="","",IF(J175&lt;&gt;"정상","비용 설정 필요",(D175*M175)+(E175*N175)))</f>
      </c>
      <c r="P175" s="12" t="str">
        <f>IF(J175="","",IF(J175&lt;&gt;"정상","비용 설정 필요",L175+O175+H175))</f>
      </c>
      <c r="Q175" s="13" t="str">
        <f>IF(J175="","",IF(J175&lt;&gt;"정상","비용 설정 필요",G175-P175))</f>
      </c>
      <c r="R175" s="14" t="str">
        <f>IF(J175="","",IF(J175&lt;&gt;"정상","비용 설정 필요",IFERROR(Q175/G175,0)))</f>
      </c>
    </row>
    <row r="176">
      <c r="B176" s="7"/>
      <c r="C176" s="5"/>
      <c r="D176" s="8"/>
      <c r="E176" s="8"/>
      <c r="F176" s="12" t="str">
        <f>IF(AND(B176="",C176=""),"",SUM(D176:E176))</f>
      </c>
      <c r="G176" s="8"/>
      <c r="H176" s="8"/>
      <c r="I176" s="6"/>
      <c r="J176" s="10" t="str">
        <f>IF(AND(B176="",C176=""),"",IF(OR(B176="",C176=""),"비용 설정 필요",IF(COUNTIFS('3_채널별_비용설정'!$C$6:$C$55,C176,'3_채널별_비용설정'!$D$6:$D$55,"&lt;="&amp;B176,'3_채널별_비용설정'!$O$6:$O$55,"&gt;="&amp;B176)=0,"비용 설정 필요",IF(COUNTIFS('3_채널별_비용설정'!$C$6:$C$55,C176,'3_채널별_비용설정'!$D$6:$D$55,"&lt;="&amp;B176,'3_채널별_비용설정'!$O$6:$O$55,"&gt;="&amp;B176)&gt;1,"기간 중복 확인","정상"))))</f>
      </c>
      <c r="K176" s="15" t="str">
        <f>IF(J176="","",IF(J176&lt;&gt;"정상","비용 설정 필요",SUMIFS('3_채널별_비용설정'!$F$6:$F$55,'3_채널별_비용설정'!$C$6:$C$55,C176,'3_채널별_비용설정'!$D$6:$D$55,"&lt;="&amp;B176,'3_채널별_비용설정'!$O$6:$O$55,"&gt;="&amp;B176)))</f>
      </c>
      <c r="L176" s="12" t="str">
        <f>IF(J176="","",IF(J176&lt;&gt;"정상","비용 설정 필요",ROUND(G176*K176,0)))</f>
      </c>
      <c r="M176" s="12" t="str">
        <f>IF(J176="","",IF(J176&lt;&gt;"정상","비용 설정 필요",SUMIFS('3_채널별_비용설정'!$L$6:$L$55,'3_채널별_비용설정'!$C$6:$C$55,C176,'3_채널별_비용설정'!$D$6:$D$55,"&lt;="&amp;B176,'3_채널별_비용설정'!$O$6:$O$55,"&gt;="&amp;B176)))</f>
      </c>
      <c r="N176" s="12" t="str">
        <f>IF(J176="","",IF(J176&lt;&gt;"정상","비용 설정 필요",SUMIFS('3_채널별_비용설정'!$M$6:$M$55,'3_채널별_비용설정'!$C$6:$C$55,C176,'3_채널별_비용설정'!$D$6:$D$55,"&lt;="&amp;B176,'3_채널별_비용설정'!$O$6:$O$55,"&gt;="&amp;B176)))</f>
      </c>
      <c r="O176" s="12" t="str">
        <f>IF(J176="","",IF(J176&lt;&gt;"정상","비용 설정 필요",(D176*M176)+(E176*N176)))</f>
      </c>
      <c r="P176" s="12" t="str">
        <f>IF(J176="","",IF(J176&lt;&gt;"정상","비용 설정 필요",L176+O176+H176))</f>
      </c>
      <c r="Q176" s="13" t="str">
        <f>IF(J176="","",IF(J176&lt;&gt;"정상","비용 설정 필요",G176-P176))</f>
      </c>
      <c r="R176" s="14" t="str">
        <f>IF(J176="","",IF(J176&lt;&gt;"정상","비용 설정 필요",IFERROR(Q176/G176,0)))</f>
      </c>
    </row>
    <row r="177">
      <c r="B177" s="7"/>
      <c r="C177" s="5"/>
      <c r="D177" s="8"/>
      <c r="E177" s="8"/>
      <c r="F177" s="12" t="str">
        <f>IF(AND(B177="",C177=""),"",SUM(D177:E177))</f>
      </c>
      <c r="G177" s="8"/>
      <c r="H177" s="8"/>
      <c r="I177" s="6"/>
      <c r="J177" s="10" t="str">
        <f>IF(AND(B177="",C177=""),"",IF(OR(B177="",C177=""),"비용 설정 필요",IF(COUNTIFS('3_채널별_비용설정'!$C$6:$C$55,C177,'3_채널별_비용설정'!$D$6:$D$55,"&lt;="&amp;B177,'3_채널별_비용설정'!$O$6:$O$55,"&gt;="&amp;B177)=0,"비용 설정 필요",IF(COUNTIFS('3_채널별_비용설정'!$C$6:$C$55,C177,'3_채널별_비용설정'!$D$6:$D$55,"&lt;="&amp;B177,'3_채널별_비용설정'!$O$6:$O$55,"&gt;="&amp;B177)&gt;1,"기간 중복 확인","정상"))))</f>
      </c>
      <c r="K177" s="15" t="str">
        <f>IF(J177="","",IF(J177&lt;&gt;"정상","비용 설정 필요",SUMIFS('3_채널별_비용설정'!$F$6:$F$55,'3_채널별_비용설정'!$C$6:$C$55,C177,'3_채널별_비용설정'!$D$6:$D$55,"&lt;="&amp;B177,'3_채널별_비용설정'!$O$6:$O$55,"&gt;="&amp;B177)))</f>
      </c>
      <c r="L177" s="12" t="str">
        <f>IF(J177="","",IF(J177&lt;&gt;"정상","비용 설정 필요",ROUND(G177*K177,0)))</f>
      </c>
      <c r="M177" s="12" t="str">
        <f>IF(J177="","",IF(J177&lt;&gt;"정상","비용 설정 필요",SUMIFS('3_채널별_비용설정'!$L$6:$L$55,'3_채널별_비용설정'!$C$6:$C$55,C177,'3_채널별_비용설정'!$D$6:$D$55,"&lt;="&amp;B177,'3_채널별_비용설정'!$O$6:$O$55,"&gt;="&amp;B177)))</f>
      </c>
      <c r="N177" s="12" t="str">
        <f>IF(J177="","",IF(J177&lt;&gt;"정상","비용 설정 필요",SUMIFS('3_채널별_비용설정'!$M$6:$M$55,'3_채널별_비용설정'!$C$6:$C$55,C177,'3_채널별_비용설정'!$D$6:$D$55,"&lt;="&amp;B177,'3_채널별_비용설정'!$O$6:$O$55,"&gt;="&amp;B177)))</f>
      </c>
      <c r="O177" s="12" t="str">
        <f>IF(J177="","",IF(J177&lt;&gt;"정상","비용 설정 필요",(D177*M177)+(E177*N177)))</f>
      </c>
      <c r="P177" s="12" t="str">
        <f>IF(J177="","",IF(J177&lt;&gt;"정상","비용 설정 필요",L177+O177+H177))</f>
      </c>
      <c r="Q177" s="13" t="str">
        <f>IF(J177="","",IF(J177&lt;&gt;"정상","비용 설정 필요",G177-P177))</f>
      </c>
      <c r="R177" s="14" t="str">
        <f>IF(J177="","",IF(J177&lt;&gt;"정상","비용 설정 필요",IFERROR(Q177/G177,0)))</f>
      </c>
    </row>
    <row r="178">
      <c r="B178" s="7"/>
      <c r="C178" s="5"/>
      <c r="D178" s="8"/>
      <c r="E178" s="8"/>
      <c r="F178" s="12" t="str">
        <f>IF(AND(B178="",C178=""),"",SUM(D178:E178))</f>
      </c>
      <c r="G178" s="8"/>
      <c r="H178" s="8"/>
      <c r="I178" s="6"/>
      <c r="J178" s="10" t="str">
        <f>IF(AND(B178="",C178=""),"",IF(OR(B178="",C178=""),"비용 설정 필요",IF(COUNTIFS('3_채널별_비용설정'!$C$6:$C$55,C178,'3_채널별_비용설정'!$D$6:$D$55,"&lt;="&amp;B178,'3_채널별_비용설정'!$O$6:$O$55,"&gt;="&amp;B178)=0,"비용 설정 필요",IF(COUNTIFS('3_채널별_비용설정'!$C$6:$C$55,C178,'3_채널별_비용설정'!$D$6:$D$55,"&lt;="&amp;B178,'3_채널별_비용설정'!$O$6:$O$55,"&gt;="&amp;B178)&gt;1,"기간 중복 확인","정상"))))</f>
      </c>
      <c r="K178" s="15" t="str">
        <f>IF(J178="","",IF(J178&lt;&gt;"정상","비용 설정 필요",SUMIFS('3_채널별_비용설정'!$F$6:$F$55,'3_채널별_비용설정'!$C$6:$C$55,C178,'3_채널별_비용설정'!$D$6:$D$55,"&lt;="&amp;B178,'3_채널별_비용설정'!$O$6:$O$55,"&gt;="&amp;B178)))</f>
      </c>
      <c r="L178" s="12" t="str">
        <f>IF(J178="","",IF(J178&lt;&gt;"정상","비용 설정 필요",ROUND(G178*K178,0)))</f>
      </c>
      <c r="M178" s="12" t="str">
        <f>IF(J178="","",IF(J178&lt;&gt;"정상","비용 설정 필요",SUMIFS('3_채널별_비용설정'!$L$6:$L$55,'3_채널별_비용설정'!$C$6:$C$55,C178,'3_채널별_비용설정'!$D$6:$D$55,"&lt;="&amp;B178,'3_채널별_비용설정'!$O$6:$O$55,"&gt;="&amp;B178)))</f>
      </c>
      <c r="N178" s="12" t="str">
        <f>IF(J178="","",IF(J178&lt;&gt;"정상","비용 설정 필요",SUMIFS('3_채널별_비용설정'!$M$6:$M$55,'3_채널별_비용설정'!$C$6:$C$55,C178,'3_채널별_비용설정'!$D$6:$D$55,"&lt;="&amp;B178,'3_채널별_비용설정'!$O$6:$O$55,"&gt;="&amp;B178)))</f>
      </c>
      <c r="O178" s="12" t="str">
        <f>IF(J178="","",IF(J178&lt;&gt;"정상","비용 설정 필요",(D178*M178)+(E178*N178)))</f>
      </c>
      <c r="P178" s="12" t="str">
        <f>IF(J178="","",IF(J178&lt;&gt;"정상","비용 설정 필요",L178+O178+H178))</f>
      </c>
      <c r="Q178" s="13" t="str">
        <f>IF(J178="","",IF(J178&lt;&gt;"정상","비용 설정 필요",G178-P178))</f>
      </c>
      <c r="R178" s="14" t="str">
        <f>IF(J178="","",IF(J178&lt;&gt;"정상","비용 설정 필요",IFERROR(Q178/G178,0)))</f>
      </c>
    </row>
    <row r="179">
      <c r="B179" s="7"/>
      <c r="C179" s="5"/>
      <c r="D179" s="8"/>
      <c r="E179" s="8"/>
      <c r="F179" s="12" t="str">
        <f>IF(AND(B179="",C179=""),"",SUM(D179:E179))</f>
      </c>
      <c r="G179" s="8"/>
      <c r="H179" s="8"/>
      <c r="I179" s="6"/>
      <c r="J179" s="10" t="str">
        <f>IF(AND(B179="",C179=""),"",IF(OR(B179="",C179=""),"비용 설정 필요",IF(COUNTIFS('3_채널별_비용설정'!$C$6:$C$55,C179,'3_채널별_비용설정'!$D$6:$D$55,"&lt;="&amp;B179,'3_채널별_비용설정'!$O$6:$O$55,"&gt;="&amp;B179)=0,"비용 설정 필요",IF(COUNTIFS('3_채널별_비용설정'!$C$6:$C$55,C179,'3_채널별_비용설정'!$D$6:$D$55,"&lt;="&amp;B179,'3_채널별_비용설정'!$O$6:$O$55,"&gt;="&amp;B179)&gt;1,"기간 중복 확인","정상"))))</f>
      </c>
      <c r="K179" s="15" t="str">
        <f>IF(J179="","",IF(J179&lt;&gt;"정상","비용 설정 필요",SUMIFS('3_채널별_비용설정'!$F$6:$F$55,'3_채널별_비용설정'!$C$6:$C$55,C179,'3_채널별_비용설정'!$D$6:$D$55,"&lt;="&amp;B179,'3_채널별_비용설정'!$O$6:$O$55,"&gt;="&amp;B179)))</f>
      </c>
      <c r="L179" s="12" t="str">
        <f>IF(J179="","",IF(J179&lt;&gt;"정상","비용 설정 필요",ROUND(G179*K179,0)))</f>
      </c>
      <c r="M179" s="12" t="str">
        <f>IF(J179="","",IF(J179&lt;&gt;"정상","비용 설정 필요",SUMIFS('3_채널별_비용설정'!$L$6:$L$55,'3_채널별_비용설정'!$C$6:$C$55,C179,'3_채널별_비용설정'!$D$6:$D$55,"&lt;="&amp;B179,'3_채널별_비용설정'!$O$6:$O$55,"&gt;="&amp;B179)))</f>
      </c>
      <c r="N179" s="12" t="str">
        <f>IF(J179="","",IF(J179&lt;&gt;"정상","비용 설정 필요",SUMIFS('3_채널별_비용설정'!$M$6:$M$55,'3_채널별_비용설정'!$C$6:$C$55,C179,'3_채널별_비용설정'!$D$6:$D$55,"&lt;="&amp;B179,'3_채널별_비용설정'!$O$6:$O$55,"&gt;="&amp;B179)))</f>
      </c>
      <c r="O179" s="12" t="str">
        <f>IF(J179="","",IF(J179&lt;&gt;"정상","비용 설정 필요",(D179*M179)+(E179*N179)))</f>
      </c>
      <c r="P179" s="12" t="str">
        <f>IF(J179="","",IF(J179&lt;&gt;"정상","비용 설정 필요",L179+O179+H179))</f>
      </c>
      <c r="Q179" s="13" t="str">
        <f>IF(J179="","",IF(J179&lt;&gt;"정상","비용 설정 필요",G179-P179))</f>
      </c>
      <c r="R179" s="14" t="str">
        <f>IF(J179="","",IF(J179&lt;&gt;"정상","비용 설정 필요",IFERROR(Q179/G179,0)))</f>
      </c>
    </row>
    <row r="180">
      <c r="B180" s="7"/>
      <c r="C180" s="5"/>
      <c r="D180" s="8"/>
      <c r="E180" s="8"/>
      <c r="F180" s="12" t="str">
        <f>IF(AND(B180="",C180=""),"",SUM(D180:E180))</f>
      </c>
      <c r="G180" s="8"/>
      <c r="H180" s="8"/>
      <c r="I180" s="6"/>
      <c r="J180" s="10" t="str">
        <f>IF(AND(B180="",C180=""),"",IF(OR(B180="",C180=""),"비용 설정 필요",IF(COUNTIFS('3_채널별_비용설정'!$C$6:$C$55,C180,'3_채널별_비용설정'!$D$6:$D$55,"&lt;="&amp;B180,'3_채널별_비용설정'!$O$6:$O$55,"&gt;="&amp;B180)=0,"비용 설정 필요",IF(COUNTIFS('3_채널별_비용설정'!$C$6:$C$55,C180,'3_채널별_비용설정'!$D$6:$D$55,"&lt;="&amp;B180,'3_채널별_비용설정'!$O$6:$O$55,"&gt;="&amp;B180)&gt;1,"기간 중복 확인","정상"))))</f>
      </c>
      <c r="K180" s="15" t="str">
        <f>IF(J180="","",IF(J180&lt;&gt;"정상","비용 설정 필요",SUMIFS('3_채널별_비용설정'!$F$6:$F$55,'3_채널별_비용설정'!$C$6:$C$55,C180,'3_채널별_비용설정'!$D$6:$D$55,"&lt;="&amp;B180,'3_채널별_비용설정'!$O$6:$O$55,"&gt;="&amp;B180)))</f>
      </c>
      <c r="L180" s="12" t="str">
        <f>IF(J180="","",IF(J180&lt;&gt;"정상","비용 설정 필요",ROUND(G180*K180,0)))</f>
      </c>
      <c r="M180" s="12" t="str">
        <f>IF(J180="","",IF(J180&lt;&gt;"정상","비용 설정 필요",SUMIFS('3_채널별_비용설정'!$L$6:$L$55,'3_채널별_비용설정'!$C$6:$C$55,C180,'3_채널별_비용설정'!$D$6:$D$55,"&lt;="&amp;B180,'3_채널별_비용설정'!$O$6:$O$55,"&gt;="&amp;B180)))</f>
      </c>
      <c r="N180" s="12" t="str">
        <f>IF(J180="","",IF(J180&lt;&gt;"정상","비용 설정 필요",SUMIFS('3_채널별_비용설정'!$M$6:$M$55,'3_채널별_비용설정'!$C$6:$C$55,C180,'3_채널별_비용설정'!$D$6:$D$55,"&lt;="&amp;B180,'3_채널별_비용설정'!$O$6:$O$55,"&gt;="&amp;B180)))</f>
      </c>
      <c r="O180" s="12" t="str">
        <f>IF(J180="","",IF(J180&lt;&gt;"정상","비용 설정 필요",(D180*M180)+(E180*N180)))</f>
      </c>
      <c r="P180" s="12" t="str">
        <f>IF(J180="","",IF(J180&lt;&gt;"정상","비용 설정 필요",L180+O180+H180))</f>
      </c>
      <c r="Q180" s="13" t="str">
        <f>IF(J180="","",IF(J180&lt;&gt;"정상","비용 설정 필요",G180-P180))</f>
      </c>
      <c r="R180" s="14" t="str">
        <f>IF(J180="","",IF(J180&lt;&gt;"정상","비용 설정 필요",IFERROR(Q180/G180,0)))</f>
      </c>
    </row>
    <row r="181">
      <c r="B181" s="7"/>
      <c r="C181" s="5"/>
      <c r="D181" s="8"/>
      <c r="E181" s="8"/>
      <c r="F181" s="12" t="str">
        <f>IF(AND(B181="",C181=""),"",SUM(D181:E181))</f>
      </c>
      <c r="G181" s="8"/>
      <c r="H181" s="8"/>
      <c r="I181" s="6"/>
      <c r="J181" s="10" t="str">
        <f>IF(AND(B181="",C181=""),"",IF(OR(B181="",C181=""),"비용 설정 필요",IF(COUNTIFS('3_채널별_비용설정'!$C$6:$C$55,C181,'3_채널별_비용설정'!$D$6:$D$55,"&lt;="&amp;B181,'3_채널별_비용설정'!$O$6:$O$55,"&gt;="&amp;B181)=0,"비용 설정 필요",IF(COUNTIFS('3_채널별_비용설정'!$C$6:$C$55,C181,'3_채널별_비용설정'!$D$6:$D$55,"&lt;="&amp;B181,'3_채널별_비용설정'!$O$6:$O$55,"&gt;="&amp;B181)&gt;1,"기간 중복 확인","정상"))))</f>
      </c>
      <c r="K181" s="15" t="str">
        <f>IF(J181="","",IF(J181&lt;&gt;"정상","비용 설정 필요",SUMIFS('3_채널별_비용설정'!$F$6:$F$55,'3_채널별_비용설정'!$C$6:$C$55,C181,'3_채널별_비용설정'!$D$6:$D$55,"&lt;="&amp;B181,'3_채널별_비용설정'!$O$6:$O$55,"&gt;="&amp;B181)))</f>
      </c>
      <c r="L181" s="12" t="str">
        <f>IF(J181="","",IF(J181&lt;&gt;"정상","비용 설정 필요",ROUND(G181*K181,0)))</f>
      </c>
      <c r="M181" s="12" t="str">
        <f>IF(J181="","",IF(J181&lt;&gt;"정상","비용 설정 필요",SUMIFS('3_채널별_비용설정'!$L$6:$L$55,'3_채널별_비용설정'!$C$6:$C$55,C181,'3_채널별_비용설정'!$D$6:$D$55,"&lt;="&amp;B181,'3_채널별_비용설정'!$O$6:$O$55,"&gt;="&amp;B181)))</f>
      </c>
      <c r="N181" s="12" t="str">
        <f>IF(J181="","",IF(J181&lt;&gt;"정상","비용 설정 필요",SUMIFS('3_채널별_비용설정'!$M$6:$M$55,'3_채널별_비용설정'!$C$6:$C$55,C181,'3_채널별_비용설정'!$D$6:$D$55,"&lt;="&amp;B181,'3_채널별_비용설정'!$O$6:$O$55,"&gt;="&amp;B181)))</f>
      </c>
      <c r="O181" s="12" t="str">
        <f>IF(J181="","",IF(J181&lt;&gt;"정상","비용 설정 필요",(D181*M181)+(E181*N181)))</f>
      </c>
      <c r="P181" s="12" t="str">
        <f>IF(J181="","",IF(J181&lt;&gt;"정상","비용 설정 필요",L181+O181+H181))</f>
      </c>
      <c r="Q181" s="13" t="str">
        <f>IF(J181="","",IF(J181&lt;&gt;"정상","비용 설정 필요",G181-P181))</f>
      </c>
      <c r="R181" s="14" t="str">
        <f>IF(J181="","",IF(J181&lt;&gt;"정상","비용 설정 필요",IFERROR(Q181/G181,0)))</f>
      </c>
    </row>
    <row r="182">
      <c r="B182" s="7"/>
      <c r="C182" s="5"/>
      <c r="D182" s="8"/>
      <c r="E182" s="8"/>
      <c r="F182" s="12" t="str">
        <f>IF(AND(B182="",C182=""),"",SUM(D182:E182))</f>
      </c>
      <c r="G182" s="8"/>
      <c r="H182" s="8"/>
      <c r="I182" s="6"/>
      <c r="J182" s="10" t="str">
        <f>IF(AND(B182="",C182=""),"",IF(OR(B182="",C182=""),"비용 설정 필요",IF(COUNTIFS('3_채널별_비용설정'!$C$6:$C$55,C182,'3_채널별_비용설정'!$D$6:$D$55,"&lt;="&amp;B182,'3_채널별_비용설정'!$O$6:$O$55,"&gt;="&amp;B182)=0,"비용 설정 필요",IF(COUNTIFS('3_채널별_비용설정'!$C$6:$C$55,C182,'3_채널별_비용설정'!$D$6:$D$55,"&lt;="&amp;B182,'3_채널별_비용설정'!$O$6:$O$55,"&gt;="&amp;B182)&gt;1,"기간 중복 확인","정상"))))</f>
      </c>
      <c r="K182" s="15" t="str">
        <f>IF(J182="","",IF(J182&lt;&gt;"정상","비용 설정 필요",SUMIFS('3_채널별_비용설정'!$F$6:$F$55,'3_채널별_비용설정'!$C$6:$C$55,C182,'3_채널별_비용설정'!$D$6:$D$55,"&lt;="&amp;B182,'3_채널별_비용설정'!$O$6:$O$55,"&gt;="&amp;B182)))</f>
      </c>
      <c r="L182" s="12" t="str">
        <f>IF(J182="","",IF(J182&lt;&gt;"정상","비용 설정 필요",ROUND(G182*K182,0)))</f>
      </c>
      <c r="M182" s="12" t="str">
        <f>IF(J182="","",IF(J182&lt;&gt;"정상","비용 설정 필요",SUMIFS('3_채널별_비용설정'!$L$6:$L$55,'3_채널별_비용설정'!$C$6:$C$55,C182,'3_채널별_비용설정'!$D$6:$D$55,"&lt;="&amp;B182,'3_채널별_비용설정'!$O$6:$O$55,"&gt;="&amp;B182)))</f>
      </c>
      <c r="N182" s="12" t="str">
        <f>IF(J182="","",IF(J182&lt;&gt;"정상","비용 설정 필요",SUMIFS('3_채널별_비용설정'!$M$6:$M$55,'3_채널별_비용설정'!$C$6:$C$55,C182,'3_채널별_비용설정'!$D$6:$D$55,"&lt;="&amp;B182,'3_채널별_비용설정'!$O$6:$O$55,"&gt;="&amp;B182)))</f>
      </c>
      <c r="O182" s="12" t="str">
        <f>IF(J182="","",IF(J182&lt;&gt;"정상","비용 설정 필요",(D182*M182)+(E182*N182)))</f>
      </c>
      <c r="P182" s="12" t="str">
        <f>IF(J182="","",IF(J182&lt;&gt;"정상","비용 설정 필요",L182+O182+H182))</f>
      </c>
      <c r="Q182" s="13" t="str">
        <f>IF(J182="","",IF(J182&lt;&gt;"정상","비용 설정 필요",G182-P182))</f>
      </c>
      <c r="R182" s="14" t="str">
        <f>IF(J182="","",IF(J182&lt;&gt;"정상","비용 설정 필요",IFERROR(Q182/G182,0)))</f>
      </c>
    </row>
    <row r="183">
      <c r="B183" s="7"/>
      <c r="C183" s="5"/>
      <c r="D183" s="8"/>
      <c r="E183" s="8"/>
      <c r="F183" s="12" t="str">
        <f>IF(AND(B183="",C183=""),"",SUM(D183:E183))</f>
      </c>
      <c r="G183" s="8"/>
      <c r="H183" s="8"/>
      <c r="I183" s="6"/>
      <c r="J183" s="10" t="str">
        <f>IF(AND(B183="",C183=""),"",IF(OR(B183="",C183=""),"비용 설정 필요",IF(COUNTIFS('3_채널별_비용설정'!$C$6:$C$55,C183,'3_채널별_비용설정'!$D$6:$D$55,"&lt;="&amp;B183,'3_채널별_비용설정'!$O$6:$O$55,"&gt;="&amp;B183)=0,"비용 설정 필요",IF(COUNTIFS('3_채널별_비용설정'!$C$6:$C$55,C183,'3_채널별_비용설정'!$D$6:$D$55,"&lt;="&amp;B183,'3_채널별_비용설정'!$O$6:$O$55,"&gt;="&amp;B183)&gt;1,"기간 중복 확인","정상"))))</f>
      </c>
      <c r="K183" s="15" t="str">
        <f>IF(J183="","",IF(J183&lt;&gt;"정상","비용 설정 필요",SUMIFS('3_채널별_비용설정'!$F$6:$F$55,'3_채널별_비용설정'!$C$6:$C$55,C183,'3_채널별_비용설정'!$D$6:$D$55,"&lt;="&amp;B183,'3_채널별_비용설정'!$O$6:$O$55,"&gt;="&amp;B183)))</f>
      </c>
      <c r="L183" s="12" t="str">
        <f>IF(J183="","",IF(J183&lt;&gt;"정상","비용 설정 필요",ROUND(G183*K183,0)))</f>
      </c>
      <c r="M183" s="12" t="str">
        <f>IF(J183="","",IF(J183&lt;&gt;"정상","비용 설정 필요",SUMIFS('3_채널별_비용설정'!$L$6:$L$55,'3_채널별_비용설정'!$C$6:$C$55,C183,'3_채널별_비용설정'!$D$6:$D$55,"&lt;="&amp;B183,'3_채널별_비용설정'!$O$6:$O$55,"&gt;="&amp;B183)))</f>
      </c>
      <c r="N183" s="12" t="str">
        <f>IF(J183="","",IF(J183&lt;&gt;"정상","비용 설정 필요",SUMIFS('3_채널별_비용설정'!$M$6:$M$55,'3_채널별_비용설정'!$C$6:$C$55,C183,'3_채널별_비용설정'!$D$6:$D$55,"&lt;="&amp;B183,'3_채널별_비용설정'!$O$6:$O$55,"&gt;="&amp;B183)))</f>
      </c>
      <c r="O183" s="12" t="str">
        <f>IF(J183="","",IF(J183&lt;&gt;"정상","비용 설정 필요",(D183*M183)+(E183*N183)))</f>
      </c>
      <c r="P183" s="12" t="str">
        <f>IF(J183="","",IF(J183&lt;&gt;"정상","비용 설정 필요",L183+O183+H183))</f>
      </c>
      <c r="Q183" s="13" t="str">
        <f>IF(J183="","",IF(J183&lt;&gt;"정상","비용 설정 필요",G183-P183))</f>
      </c>
      <c r="R183" s="14" t="str">
        <f>IF(J183="","",IF(J183&lt;&gt;"정상","비용 설정 필요",IFERROR(Q183/G183,0)))</f>
      </c>
    </row>
    <row r="184">
      <c r="B184" s="7"/>
      <c r="C184" s="5"/>
      <c r="D184" s="8"/>
      <c r="E184" s="8"/>
      <c r="F184" s="12" t="str">
        <f>IF(AND(B184="",C184=""),"",SUM(D184:E184))</f>
      </c>
      <c r="G184" s="8"/>
      <c r="H184" s="8"/>
      <c r="I184" s="6"/>
      <c r="J184" s="10" t="str">
        <f>IF(AND(B184="",C184=""),"",IF(OR(B184="",C184=""),"비용 설정 필요",IF(COUNTIFS('3_채널별_비용설정'!$C$6:$C$55,C184,'3_채널별_비용설정'!$D$6:$D$55,"&lt;="&amp;B184,'3_채널별_비용설정'!$O$6:$O$55,"&gt;="&amp;B184)=0,"비용 설정 필요",IF(COUNTIFS('3_채널별_비용설정'!$C$6:$C$55,C184,'3_채널별_비용설정'!$D$6:$D$55,"&lt;="&amp;B184,'3_채널별_비용설정'!$O$6:$O$55,"&gt;="&amp;B184)&gt;1,"기간 중복 확인","정상"))))</f>
      </c>
      <c r="K184" s="15" t="str">
        <f>IF(J184="","",IF(J184&lt;&gt;"정상","비용 설정 필요",SUMIFS('3_채널별_비용설정'!$F$6:$F$55,'3_채널별_비용설정'!$C$6:$C$55,C184,'3_채널별_비용설정'!$D$6:$D$55,"&lt;="&amp;B184,'3_채널별_비용설정'!$O$6:$O$55,"&gt;="&amp;B184)))</f>
      </c>
      <c r="L184" s="12" t="str">
        <f>IF(J184="","",IF(J184&lt;&gt;"정상","비용 설정 필요",ROUND(G184*K184,0)))</f>
      </c>
      <c r="M184" s="12" t="str">
        <f>IF(J184="","",IF(J184&lt;&gt;"정상","비용 설정 필요",SUMIFS('3_채널별_비용설정'!$L$6:$L$55,'3_채널별_비용설정'!$C$6:$C$55,C184,'3_채널별_비용설정'!$D$6:$D$55,"&lt;="&amp;B184,'3_채널별_비용설정'!$O$6:$O$55,"&gt;="&amp;B184)))</f>
      </c>
      <c r="N184" s="12" t="str">
        <f>IF(J184="","",IF(J184&lt;&gt;"정상","비용 설정 필요",SUMIFS('3_채널별_비용설정'!$M$6:$M$55,'3_채널별_비용설정'!$C$6:$C$55,C184,'3_채널별_비용설정'!$D$6:$D$55,"&lt;="&amp;B184,'3_채널별_비용설정'!$O$6:$O$55,"&gt;="&amp;B184)))</f>
      </c>
      <c r="O184" s="12" t="str">
        <f>IF(J184="","",IF(J184&lt;&gt;"정상","비용 설정 필요",(D184*M184)+(E184*N184)))</f>
      </c>
      <c r="P184" s="12" t="str">
        <f>IF(J184="","",IF(J184&lt;&gt;"정상","비용 설정 필요",L184+O184+H184))</f>
      </c>
      <c r="Q184" s="13" t="str">
        <f>IF(J184="","",IF(J184&lt;&gt;"정상","비용 설정 필요",G184-P184))</f>
      </c>
      <c r="R184" s="14" t="str">
        <f>IF(J184="","",IF(J184&lt;&gt;"정상","비용 설정 필요",IFERROR(Q184/G184,0)))</f>
      </c>
    </row>
    <row r="185">
      <c r="B185" s="7"/>
      <c r="C185" s="5"/>
      <c r="D185" s="8"/>
      <c r="E185" s="8"/>
      <c r="F185" s="12" t="str">
        <f>IF(AND(B185="",C185=""),"",SUM(D185:E185))</f>
      </c>
      <c r="G185" s="8"/>
      <c r="H185" s="8"/>
      <c r="I185" s="6"/>
      <c r="J185" s="10" t="str">
        <f>IF(AND(B185="",C185=""),"",IF(OR(B185="",C185=""),"비용 설정 필요",IF(COUNTIFS('3_채널별_비용설정'!$C$6:$C$55,C185,'3_채널별_비용설정'!$D$6:$D$55,"&lt;="&amp;B185,'3_채널별_비용설정'!$O$6:$O$55,"&gt;="&amp;B185)=0,"비용 설정 필요",IF(COUNTIFS('3_채널별_비용설정'!$C$6:$C$55,C185,'3_채널별_비용설정'!$D$6:$D$55,"&lt;="&amp;B185,'3_채널별_비용설정'!$O$6:$O$55,"&gt;="&amp;B185)&gt;1,"기간 중복 확인","정상"))))</f>
      </c>
      <c r="K185" s="15" t="str">
        <f>IF(J185="","",IF(J185&lt;&gt;"정상","비용 설정 필요",SUMIFS('3_채널별_비용설정'!$F$6:$F$55,'3_채널별_비용설정'!$C$6:$C$55,C185,'3_채널별_비용설정'!$D$6:$D$55,"&lt;="&amp;B185,'3_채널별_비용설정'!$O$6:$O$55,"&gt;="&amp;B185)))</f>
      </c>
      <c r="L185" s="12" t="str">
        <f>IF(J185="","",IF(J185&lt;&gt;"정상","비용 설정 필요",ROUND(G185*K185,0)))</f>
      </c>
      <c r="M185" s="12" t="str">
        <f>IF(J185="","",IF(J185&lt;&gt;"정상","비용 설정 필요",SUMIFS('3_채널별_비용설정'!$L$6:$L$55,'3_채널별_비용설정'!$C$6:$C$55,C185,'3_채널별_비용설정'!$D$6:$D$55,"&lt;="&amp;B185,'3_채널별_비용설정'!$O$6:$O$55,"&gt;="&amp;B185)))</f>
      </c>
      <c r="N185" s="12" t="str">
        <f>IF(J185="","",IF(J185&lt;&gt;"정상","비용 설정 필요",SUMIFS('3_채널별_비용설정'!$M$6:$M$55,'3_채널별_비용설정'!$C$6:$C$55,C185,'3_채널별_비용설정'!$D$6:$D$55,"&lt;="&amp;B185,'3_채널별_비용설정'!$O$6:$O$55,"&gt;="&amp;B185)))</f>
      </c>
      <c r="O185" s="12" t="str">
        <f>IF(J185="","",IF(J185&lt;&gt;"정상","비용 설정 필요",(D185*M185)+(E185*N185)))</f>
      </c>
      <c r="P185" s="12" t="str">
        <f>IF(J185="","",IF(J185&lt;&gt;"정상","비용 설정 필요",L185+O185+H185))</f>
      </c>
      <c r="Q185" s="13" t="str">
        <f>IF(J185="","",IF(J185&lt;&gt;"정상","비용 설정 필요",G185-P185))</f>
      </c>
      <c r="R185" s="14" t="str">
        <f>IF(J185="","",IF(J185&lt;&gt;"정상","비용 설정 필요",IFERROR(Q185/G185,0)))</f>
      </c>
    </row>
    <row r="186">
      <c r="B186" s="7"/>
      <c r="C186" s="5"/>
      <c r="D186" s="8"/>
      <c r="E186" s="8"/>
      <c r="F186" s="12" t="str">
        <f>IF(AND(B186="",C186=""),"",SUM(D186:E186))</f>
      </c>
      <c r="G186" s="8"/>
      <c r="H186" s="8"/>
      <c r="I186" s="6"/>
      <c r="J186" s="10" t="str">
        <f>IF(AND(B186="",C186=""),"",IF(OR(B186="",C186=""),"비용 설정 필요",IF(COUNTIFS('3_채널별_비용설정'!$C$6:$C$55,C186,'3_채널별_비용설정'!$D$6:$D$55,"&lt;="&amp;B186,'3_채널별_비용설정'!$O$6:$O$55,"&gt;="&amp;B186)=0,"비용 설정 필요",IF(COUNTIFS('3_채널별_비용설정'!$C$6:$C$55,C186,'3_채널별_비용설정'!$D$6:$D$55,"&lt;="&amp;B186,'3_채널별_비용설정'!$O$6:$O$55,"&gt;="&amp;B186)&gt;1,"기간 중복 확인","정상"))))</f>
      </c>
      <c r="K186" s="15" t="str">
        <f>IF(J186="","",IF(J186&lt;&gt;"정상","비용 설정 필요",SUMIFS('3_채널별_비용설정'!$F$6:$F$55,'3_채널별_비용설정'!$C$6:$C$55,C186,'3_채널별_비용설정'!$D$6:$D$55,"&lt;="&amp;B186,'3_채널별_비용설정'!$O$6:$O$55,"&gt;="&amp;B186)))</f>
      </c>
      <c r="L186" s="12" t="str">
        <f>IF(J186="","",IF(J186&lt;&gt;"정상","비용 설정 필요",ROUND(G186*K186,0)))</f>
      </c>
      <c r="M186" s="12" t="str">
        <f>IF(J186="","",IF(J186&lt;&gt;"정상","비용 설정 필요",SUMIFS('3_채널별_비용설정'!$L$6:$L$55,'3_채널별_비용설정'!$C$6:$C$55,C186,'3_채널별_비용설정'!$D$6:$D$55,"&lt;="&amp;B186,'3_채널별_비용설정'!$O$6:$O$55,"&gt;="&amp;B186)))</f>
      </c>
      <c r="N186" s="12" t="str">
        <f>IF(J186="","",IF(J186&lt;&gt;"정상","비용 설정 필요",SUMIFS('3_채널별_비용설정'!$M$6:$M$55,'3_채널별_비용설정'!$C$6:$C$55,C186,'3_채널별_비용설정'!$D$6:$D$55,"&lt;="&amp;B186,'3_채널별_비용설정'!$O$6:$O$55,"&gt;="&amp;B186)))</f>
      </c>
      <c r="O186" s="12" t="str">
        <f>IF(J186="","",IF(J186&lt;&gt;"정상","비용 설정 필요",(D186*M186)+(E186*N186)))</f>
      </c>
      <c r="P186" s="12" t="str">
        <f>IF(J186="","",IF(J186&lt;&gt;"정상","비용 설정 필요",L186+O186+H186))</f>
      </c>
      <c r="Q186" s="13" t="str">
        <f>IF(J186="","",IF(J186&lt;&gt;"정상","비용 설정 필요",G186-P186))</f>
      </c>
      <c r="R186" s="14" t="str">
        <f>IF(J186="","",IF(J186&lt;&gt;"정상","비용 설정 필요",IFERROR(Q186/G186,0)))</f>
      </c>
    </row>
    <row r="187">
      <c r="B187" s="7"/>
      <c r="C187" s="5"/>
      <c r="D187" s="8"/>
      <c r="E187" s="8"/>
      <c r="F187" s="12" t="str">
        <f>IF(AND(B187="",C187=""),"",SUM(D187:E187))</f>
      </c>
      <c r="G187" s="8"/>
      <c r="H187" s="8"/>
      <c r="I187" s="6"/>
      <c r="J187" s="10" t="str">
        <f>IF(AND(B187="",C187=""),"",IF(OR(B187="",C187=""),"비용 설정 필요",IF(COUNTIFS('3_채널별_비용설정'!$C$6:$C$55,C187,'3_채널별_비용설정'!$D$6:$D$55,"&lt;="&amp;B187,'3_채널별_비용설정'!$O$6:$O$55,"&gt;="&amp;B187)=0,"비용 설정 필요",IF(COUNTIFS('3_채널별_비용설정'!$C$6:$C$55,C187,'3_채널별_비용설정'!$D$6:$D$55,"&lt;="&amp;B187,'3_채널별_비용설정'!$O$6:$O$55,"&gt;="&amp;B187)&gt;1,"기간 중복 확인","정상"))))</f>
      </c>
      <c r="K187" s="15" t="str">
        <f>IF(J187="","",IF(J187&lt;&gt;"정상","비용 설정 필요",SUMIFS('3_채널별_비용설정'!$F$6:$F$55,'3_채널별_비용설정'!$C$6:$C$55,C187,'3_채널별_비용설정'!$D$6:$D$55,"&lt;="&amp;B187,'3_채널별_비용설정'!$O$6:$O$55,"&gt;="&amp;B187)))</f>
      </c>
      <c r="L187" s="12" t="str">
        <f>IF(J187="","",IF(J187&lt;&gt;"정상","비용 설정 필요",ROUND(G187*K187,0)))</f>
      </c>
      <c r="M187" s="12" t="str">
        <f>IF(J187="","",IF(J187&lt;&gt;"정상","비용 설정 필요",SUMIFS('3_채널별_비용설정'!$L$6:$L$55,'3_채널별_비용설정'!$C$6:$C$55,C187,'3_채널별_비용설정'!$D$6:$D$55,"&lt;="&amp;B187,'3_채널별_비용설정'!$O$6:$O$55,"&gt;="&amp;B187)))</f>
      </c>
      <c r="N187" s="12" t="str">
        <f>IF(J187="","",IF(J187&lt;&gt;"정상","비용 설정 필요",SUMIFS('3_채널별_비용설정'!$M$6:$M$55,'3_채널별_비용설정'!$C$6:$C$55,C187,'3_채널별_비용설정'!$D$6:$D$55,"&lt;="&amp;B187,'3_채널별_비용설정'!$O$6:$O$55,"&gt;="&amp;B187)))</f>
      </c>
      <c r="O187" s="12" t="str">
        <f>IF(J187="","",IF(J187&lt;&gt;"정상","비용 설정 필요",(D187*M187)+(E187*N187)))</f>
      </c>
      <c r="P187" s="12" t="str">
        <f>IF(J187="","",IF(J187&lt;&gt;"정상","비용 설정 필요",L187+O187+H187))</f>
      </c>
      <c r="Q187" s="13" t="str">
        <f>IF(J187="","",IF(J187&lt;&gt;"정상","비용 설정 필요",G187-P187))</f>
      </c>
      <c r="R187" s="14" t="str">
        <f>IF(J187="","",IF(J187&lt;&gt;"정상","비용 설정 필요",IFERROR(Q187/G187,0)))</f>
      </c>
    </row>
    <row r="188">
      <c r="B188" s="7"/>
      <c r="C188" s="5"/>
      <c r="D188" s="8"/>
      <c r="E188" s="8"/>
      <c r="F188" s="12" t="str">
        <f>IF(AND(B188="",C188=""),"",SUM(D188:E188))</f>
      </c>
      <c r="G188" s="8"/>
      <c r="H188" s="8"/>
      <c r="I188" s="6"/>
      <c r="J188" s="10" t="str">
        <f>IF(AND(B188="",C188=""),"",IF(OR(B188="",C188=""),"비용 설정 필요",IF(COUNTIFS('3_채널별_비용설정'!$C$6:$C$55,C188,'3_채널별_비용설정'!$D$6:$D$55,"&lt;="&amp;B188,'3_채널별_비용설정'!$O$6:$O$55,"&gt;="&amp;B188)=0,"비용 설정 필요",IF(COUNTIFS('3_채널별_비용설정'!$C$6:$C$55,C188,'3_채널별_비용설정'!$D$6:$D$55,"&lt;="&amp;B188,'3_채널별_비용설정'!$O$6:$O$55,"&gt;="&amp;B188)&gt;1,"기간 중복 확인","정상"))))</f>
      </c>
      <c r="K188" s="15" t="str">
        <f>IF(J188="","",IF(J188&lt;&gt;"정상","비용 설정 필요",SUMIFS('3_채널별_비용설정'!$F$6:$F$55,'3_채널별_비용설정'!$C$6:$C$55,C188,'3_채널별_비용설정'!$D$6:$D$55,"&lt;="&amp;B188,'3_채널별_비용설정'!$O$6:$O$55,"&gt;="&amp;B188)))</f>
      </c>
      <c r="L188" s="12" t="str">
        <f>IF(J188="","",IF(J188&lt;&gt;"정상","비용 설정 필요",ROUND(G188*K188,0)))</f>
      </c>
      <c r="M188" s="12" t="str">
        <f>IF(J188="","",IF(J188&lt;&gt;"정상","비용 설정 필요",SUMIFS('3_채널별_비용설정'!$L$6:$L$55,'3_채널별_비용설정'!$C$6:$C$55,C188,'3_채널별_비용설정'!$D$6:$D$55,"&lt;="&amp;B188,'3_채널별_비용설정'!$O$6:$O$55,"&gt;="&amp;B188)))</f>
      </c>
      <c r="N188" s="12" t="str">
        <f>IF(J188="","",IF(J188&lt;&gt;"정상","비용 설정 필요",SUMIFS('3_채널별_비용설정'!$M$6:$M$55,'3_채널별_비용설정'!$C$6:$C$55,C188,'3_채널별_비용설정'!$D$6:$D$55,"&lt;="&amp;B188,'3_채널별_비용설정'!$O$6:$O$55,"&gt;="&amp;B188)))</f>
      </c>
      <c r="O188" s="12" t="str">
        <f>IF(J188="","",IF(J188&lt;&gt;"정상","비용 설정 필요",(D188*M188)+(E188*N188)))</f>
      </c>
      <c r="P188" s="12" t="str">
        <f>IF(J188="","",IF(J188&lt;&gt;"정상","비용 설정 필요",L188+O188+H188))</f>
      </c>
      <c r="Q188" s="13" t="str">
        <f>IF(J188="","",IF(J188&lt;&gt;"정상","비용 설정 필요",G188-P188))</f>
      </c>
      <c r="R188" s="14" t="str">
        <f>IF(J188="","",IF(J188&lt;&gt;"정상","비용 설정 필요",IFERROR(Q188/G188,0)))</f>
      </c>
    </row>
    <row r="189">
      <c r="B189" s="7"/>
      <c r="C189" s="5"/>
      <c r="D189" s="8"/>
      <c r="E189" s="8"/>
      <c r="F189" s="12" t="str">
        <f>IF(AND(B189="",C189=""),"",SUM(D189:E189))</f>
      </c>
      <c r="G189" s="8"/>
      <c r="H189" s="8"/>
      <c r="I189" s="6"/>
      <c r="J189" s="10" t="str">
        <f>IF(AND(B189="",C189=""),"",IF(OR(B189="",C189=""),"비용 설정 필요",IF(COUNTIFS('3_채널별_비용설정'!$C$6:$C$55,C189,'3_채널별_비용설정'!$D$6:$D$55,"&lt;="&amp;B189,'3_채널별_비용설정'!$O$6:$O$55,"&gt;="&amp;B189)=0,"비용 설정 필요",IF(COUNTIFS('3_채널별_비용설정'!$C$6:$C$55,C189,'3_채널별_비용설정'!$D$6:$D$55,"&lt;="&amp;B189,'3_채널별_비용설정'!$O$6:$O$55,"&gt;="&amp;B189)&gt;1,"기간 중복 확인","정상"))))</f>
      </c>
      <c r="K189" s="15" t="str">
        <f>IF(J189="","",IF(J189&lt;&gt;"정상","비용 설정 필요",SUMIFS('3_채널별_비용설정'!$F$6:$F$55,'3_채널별_비용설정'!$C$6:$C$55,C189,'3_채널별_비용설정'!$D$6:$D$55,"&lt;="&amp;B189,'3_채널별_비용설정'!$O$6:$O$55,"&gt;="&amp;B189)))</f>
      </c>
      <c r="L189" s="12" t="str">
        <f>IF(J189="","",IF(J189&lt;&gt;"정상","비용 설정 필요",ROUND(G189*K189,0)))</f>
      </c>
      <c r="M189" s="12" t="str">
        <f>IF(J189="","",IF(J189&lt;&gt;"정상","비용 설정 필요",SUMIFS('3_채널별_비용설정'!$L$6:$L$55,'3_채널별_비용설정'!$C$6:$C$55,C189,'3_채널별_비용설정'!$D$6:$D$55,"&lt;="&amp;B189,'3_채널별_비용설정'!$O$6:$O$55,"&gt;="&amp;B189)))</f>
      </c>
      <c r="N189" s="12" t="str">
        <f>IF(J189="","",IF(J189&lt;&gt;"정상","비용 설정 필요",SUMIFS('3_채널별_비용설정'!$M$6:$M$55,'3_채널별_비용설정'!$C$6:$C$55,C189,'3_채널별_비용설정'!$D$6:$D$55,"&lt;="&amp;B189,'3_채널별_비용설정'!$O$6:$O$55,"&gt;="&amp;B189)))</f>
      </c>
      <c r="O189" s="12" t="str">
        <f>IF(J189="","",IF(J189&lt;&gt;"정상","비용 설정 필요",(D189*M189)+(E189*N189)))</f>
      </c>
      <c r="P189" s="12" t="str">
        <f>IF(J189="","",IF(J189&lt;&gt;"정상","비용 설정 필요",L189+O189+H189))</f>
      </c>
      <c r="Q189" s="13" t="str">
        <f>IF(J189="","",IF(J189&lt;&gt;"정상","비용 설정 필요",G189-P189))</f>
      </c>
      <c r="R189" s="14" t="str">
        <f>IF(J189="","",IF(J189&lt;&gt;"정상","비용 설정 필요",IFERROR(Q189/G189,0)))</f>
      </c>
    </row>
    <row r="190">
      <c r="B190" s="7"/>
      <c r="C190" s="5"/>
      <c r="D190" s="8"/>
      <c r="E190" s="8"/>
      <c r="F190" s="12" t="str">
        <f>IF(AND(B190="",C190=""),"",SUM(D190:E190))</f>
      </c>
      <c r="G190" s="8"/>
      <c r="H190" s="8"/>
      <c r="I190" s="6"/>
      <c r="J190" s="10" t="str">
        <f>IF(AND(B190="",C190=""),"",IF(OR(B190="",C190=""),"비용 설정 필요",IF(COUNTIFS('3_채널별_비용설정'!$C$6:$C$55,C190,'3_채널별_비용설정'!$D$6:$D$55,"&lt;="&amp;B190,'3_채널별_비용설정'!$O$6:$O$55,"&gt;="&amp;B190)=0,"비용 설정 필요",IF(COUNTIFS('3_채널별_비용설정'!$C$6:$C$55,C190,'3_채널별_비용설정'!$D$6:$D$55,"&lt;="&amp;B190,'3_채널별_비용설정'!$O$6:$O$55,"&gt;="&amp;B190)&gt;1,"기간 중복 확인","정상"))))</f>
      </c>
      <c r="K190" s="15" t="str">
        <f>IF(J190="","",IF(J190&lt;&gt;"정상","비용 설정 필요",SUMIFS('3_채널별_비용설정'!$F$6:$F$55,'3_채널별_비용설정'!$C$6:$C$55,C190,'3_채널별_비용설정'!$D$6:$D$55,"&lt;="&amp;B190,'3_채널별_비용설정'!$O$6:$O$55,"&gt;="&amp;B190)))</f>
      </c>
      <c r="L190" s="12" t="str">
        <f>IF(J190="","",IF(J190&lt;&gt;"정상","비용 설정 필요",ROUND(G190*K190,0)))</f>
      </c>
      <c r="M190" s="12" t="str">
        <f>IF(J190="","",IF(J190&lt;&gt;"정상","비용 설정 필요",SUMIFS('3_채널별_비용설정'!$L$6:$L$55,'3_채널별_비용설정'!$C$6:$C$55,C190,'3_채널별_비용설정'!$D$6:$D$55,"&lt;="&amp;B190,'3_채널별_비용설정'!$O$6:$O$55,"&gt;="&amp;B190)))</f>
      </c>
      <c r="N190" s="12" t="str">
        <f>IF(J190="","",IF(J190&lt;&gt;"정상","비용 설정 필요",SUMIFS('3_채널별_비용설정'!$M$6:$M$55,'3_채널별_비용설정'!$C$6:$C$55,C190,'3_채널별_비용설정'!$D$6:$D$55,"&lt;="&amp;B190,'3_채널별_비용설정'!$O$6:$O$55,"&gt;="&amp;B190)))</f>
      </c>
      <c r="O190" s="12" t="str">
        <f>IF(J190="","",IF(J190&lt;&gt;"정상","비용 설정 필요",(D190*M190)+(E190*N190)))</f>
      </c>
      <c r="P190" s="12" t="str">
        <f>IF(J190="","",IF(J190&lt;&gt;"정상","비용 설정 필요",L190+O190+H190))</f>
      </c>
      <c r="Q190" s="13" t="str">
        <f>IF(J190="","",IF(J190&lt;&gt;"정상","비용 설정 필요",G190-P190))</f>
      </c>
      <c r="R190" s="14" t="str">
        <f>IF(J190="","",IF(J190&lt;&gt;"정상","비용 설정 필요",IFERROR(Q190/G190,0)))</f>
      </c>
    </row>
    <row r="191">
      <c r="B191" s="7"/>
      <c r="C191" s="5"/>
      <c r="D191" s="8"/>
      <c r="E191" s="8"/>
      <c r="F191" s="12" t="str">
        <f>IF(AND(B191="",C191=""),"",SUM(D191:E191))</f>
      </c>
      <c r="G191" s="8"/>
      <c r="H191" s="8"/>
      <c r="I191" s="6"/>
      <c r="J191" s="10" t="str">
        <f>IF(AND(B191="",C191=""),"",IF(OR(B191="",C191=""),"비용 설정 필요",IF(COUNTIFS('3_채널별_비용설정'!$C$6:$C$55,C191,'3_채널별_비용설정'!$D$6:$D$55,"&lt;="&amp;B191,'3_채널별_비용설정'!$O$6:$O$55,"&gt;="&amp;B191)=0,"비용 설정 필요",IF(COUNTIFS('3_채널별_비용설정'!$C$6:$C$55,C191,'3_채널별_비용설정'!$D$6:$D$55,"&lt;="&amp;B191,'3_채널별_비용설정'!$O$6:$O$55,"&gt;="&amp;B191)&gt;1,"기간 중복 확인","정상"))))</f>
      </c>
      <c r="K191" s="15" t="str">
        <f>IF(J191="","",IF(J191&lt;&gt;"정상","비용 설정 필요",SUMIFS('3_채널별_비용설정'!$F$6:$F$55,'3_채널별_비용설정'!$C$6:$C$55,C191,'3_채널별_비용설정'!$D$6:$D$55,"&lt;="&amp;B191,'3_채널별_비용설정'!$O$6:$O$55,"&gt;="&amp;B191)))</f>
      </c>
      <c r="L191" s="12" t="str">
        <f>IF(J191="","",IF(J191&lt;&gt;"정상","비용 설정 필요",ROUND(G191*K191,0)))</f>
      </c>
      <c r="M191" s="12" t="str">
        <f>IF(J191="","",IF(J191&lt;&gt;"정상","비용 설정 필요",SUMIFS('3_채널별_비용설정'!$L$6:$L$55,'3_채널별_비용설정'!$C$6:$C$55,C191,'3_채널별_비용설정'!$D$6:$D$55,"&lt;="&amp;B191,'3_채널별_비용설정'!$O$6:$O$55,"&gt;="&amp;B191)))</f>
      </c>
      <c r="N191" s="12" t="str">
        <f>IF(J191="","",IF(J191&lt;&gt;"정상","비용 설정 필요",SUMIFS('3_채널별_비용설정'!$M$6:$M$55,'3_채널별_비용설정'!$C$6:$C$55,C191,'3_채널별_비용설정'!$D$6:$D$55,"&lt;="&amp;B191,'3_채널별_비용설정'!$O$6:$O$55,"&gt;="&amp;B191)))</f>
      </c>
      <c r="O191" s="12" t="str">
        <f>IF(J191="","",IF(J191&lt;&gt;"정상","비용 설정 필요",(D191*M191)+(E191*N191)))</f>
      </c>
      <c r="P191" s="12" t="str">
        <f>IF(J191="","",IF(J191&lt;&gt;"정상","비용 설정 필요",L191+O191+H191))</f>
      </c>
      <c r="Q191" s="13" t="str">
        <f>IF(J191="","",IF(J191&lt;&gt;"정상","비용 설정 필요",G191-P191))</f>
      </c>
      <c r="R191" s="14" t="str">
        <f>IF(J191="","",IF(J191&lt;&gt;"정상","비용 설정 필요",IFERROR(Q191/G191,0)))</f>
      </c>
    </row>
    <row r="192">
      <c r="B192" s="7"/>
      <c r="C192" s="5"/>
      <c r="D192" s="8"/>
      <c r="E192" s="8"/>
      <c r="F192" s="12" t="str">
        <f>IF(AND(B192="",C192=""),"",SUM(D192:E192))</f>
      </c>
      <c r="G192" s="8"/>
      <c r="H192" s="8"/>
      <c r="I192" s="6"/>
      <c r="J192" s="10" t="str">
        <f>IF(AND(B192="",C192=""),"",IF(OR(B192="",C192=""),"비용 설정 필요",IF(COUNTIFS('3_채널별_비용설정'!$C$6:$C$55,C192,'3_채널별_비용설정'!$D$6:$D$55,"&lt;="&amp;B192,'3_채널별_비용설정'!$O$6:$O$55,"&gt;="&amp;B192)=0,"비용 설정 필요",IF(COUNTIFS('3_채널별_비용설정'!$C$6:$C$55,C192,'3_채널별_비용설정'!$D$6:$D$55,"&lt;="&amp;B192,'3_채널별_비용설정'!$O$6:$O$55,"&gt;="&amp;B192)&gt;1,"기간 중복 확인","정상"))))</f>
      </c>
      <c r="K192" s="15" t="str">
        <f>IF(J192="","",IF(J192&lt;&gt;"정상","비용 설정 필요",SUMIFS('3_채널별_비용설정'!$F$6:$F$55,'3_채널별_비용설정'!$C$6:$C$55,C192,'3_채널별_비용설정'!$D$6:$D$55,"&lt;="&amp;B192,'3_채널별_비용설정'!$O$6:$O$55,"&gt;="&amp;B192)))</f>
      </c>
      <c r="L192" s="12" t="str">
        <f>IF(J192="","",IF(J192&lt;&gt;"정상","비용 설정 필요",ROUND(G192*K192,0)))</f>
      </c>
      <c r="M192" s="12" t="str">
        <f>IF(J192="","",IF(J192&lt;&gt;"정상","비용 설정 필요",SUMIFS('3_채널별_비용설정'!$L$6:$L$55,'3_채널별_비용설정'!$C$6:$C$55,C192,'3_채널별_비용설정'!$D$6:$D$55,"&lt;="&amp;B192,'3_채널별_비용설정'!$O$6:$O$55,"&gt;="&amp;B192)))</f>
      </c>
      <c r="N192" s="12" t="str">
        <f>IF(J192="","",IF(J192&lt;&gt;"정상","비용 설정 필요",SUMIFS('3_채널별_비용설정'!$M$6:$M$55,'3_채널별_비용설정'!$C$6:$C$55,C192,'3_채널별_비용설정'!$D$6:$D$55,"&lt;="&amp;B192,'3_채널별_비용설정'!$O$6:$O$55,"&gt;="&amp;B192)))</f>
      </c>
      <c r="O192" s="12" t="str">
        <f>IF(J192="","",IF(J192&lt;&gt;"정상","비용 설정 필요",(D192*M192)+(E192*N192)))</f>
      </c>
      <c r="P192" s="12" t="str">
        <f>IF(J192="","",IF(J192&lt;&gt;"정상","비용 설정 필요",L192+O192+H192))</f>
      </c>
      <c r="Q192" s="13" t="str">
        <f>IF(J192="","",IF(J192&lt;&gt;"정상","비용 설정 필요",G192-P192))</f>
      </c>
      <c r="R192" s="14" t="str">
        <f>IF(J192="","",IF(J192&lt;&gt;"정상","비용 설정 필요",IFERROR(Q192/G192,0)))</f>
      </c>
    </row>
    <row r="193">
      <c r="B193" s="7"/>
      <c r="C193" s="5"/>
      <c r="D193" s="8"/>
      <c r="E193" s="8"/>
      <c r="F193" s="12" t="str">
        <f>IF(AND(B193="",C193=""),"",SUM(D193:E193))</f>
      </c>
      <c r="G193" s="8"/>
      <c r="H193" s="8"/>
      <c r="I193" s="6"/>
      <c r="J193" s="10" t="str">
        <f>IF(AND(B193="",C193=""),"",IF(OR(B193="",C193=""),"비용 설정 필요",IF(COUNTIFS('3_채널별_비용설정'!$C$6:$C$55,C193,'3_채널별_비용설정'!$D$6:$D$55,"&lt;="&amp;B193,'3_채널별_비용설정'!$O$6:$O$55,"&gt;="&amp;B193)=0,"비용 설정 필요",IF(COUNTIFS('3_채널별_비용설정'!$C$6:$C$55,C193,'3_채널별_비용설정'!$D$6:$D$55,"&lt;="&amp;B193,'3_채널별_비용설정'!$O$6:$O$55,"&gt;="&amp;B193)&gt;1,"기간 중복 확인","정상"))))</f>
      </c>
      <c r="K193" s="15" t="str">
        <f>IF(J193="","",IF(J193&lt;&gt;"정상","비용 설정 필요",SUMIFS('3_채널별_비용설정'!$F$6:$F$55,'3_채널별_비용설정'!$C$6:$C$55,C193,'3_채널별_비용설정'!$D$6:$D$55,"&lt;="&amp;B193,'3_채널별_비용설정'!$O$6:$O$55,"&gt;="&amp;B193)))</f>
      </c>
      <c r="L193" s="12" t="str">
        <f>IF(J193="","",IF(J193&lt;&gt;"정상","비용 설정 필요",ROUND(G193*K193,0)))</f>
      </c>
      <c r="M193" s="12" t="str">
        <f>IF(J193="","",IF(J193&lt;&gt;"정상","비용 설정 필요",SUMIFS('3_채널별_비용설정'!$L$6:$L$55,'3_채널별_비용설정'!$C$6:$C$55,C193,'3_채널별_비용설정'!$D$6:$D$55,"&lt;="&amp;B193,'3_채널별_비용설정'!$O$6:$O$55,"&gt;="&amp;B193)))</f>
      </c>
      <c r="N193" s="12" t="str">
        <f>IF(J193="","",IF(J193&lt;&gt;"정상","비용 설정 필요",SUMIFS('3_채널별_비용설정'!$M$6:$M$55,'3_채널별_비용설정'!$C$6:$C$55,C193,'3_채널별_비용설정'!$D$6:$D$55,"&lt;="&amp;B193,'3_채널별_비용설정'!$O$6:$O$55,"&gt;="&amp;B193)))</f>
      </c>
      <c r="O193" s="12" t="str">
        <f>IF(J193="","",IF(J193&lt;&gt;"정상","비용 설정 필요",(D193*M193)+(E193*N193)))</f>
      </c>
      <c r="P193" s="12" t="str">
        <f>IF(J193="","",IF(J193&lt;&gt;"정상","비용 설정 필요",L193+O193+H193))</f>
      </c>
      <c r="Q193" s="13" t="str">
        <f>IF(J193="","",IF(J193&lt;&gt;"정상","비용 설정 필요",G193-P193))</f>
      </c>
      <c r="R193" s="14" t="str">
        <f>IF(J193="","",IF(J193&lt;&gt;"정상","비용 설정 필요",IFERROR(Q193/G193,0)))</f>
      </c>
    </row>
    <row r="194">
      <c r="B194" s="7"/>
      <c r="C194" s="5"/>
      <c r="D194" s="8"/>
      <c r="E194" s="8"/>
      <c r="F194" s="12" t="str">
        <f>IF(AND(B194="",C194=""),"",SUM(D194:E194))</f>
      </c>
      <c r="G194" s="8"/>
      <c r="H194" s="8"/>
      <c r="I194" s="6"/>
      <c r="J194" s="10" t="str">
        <f>IF(AND(B194="",C194=""),"",IF(OR(B194="",C194=""),"비용 설정 필요",IF(COUNTIFS('3_채널별_비용설정'!$C$6:$C$55,C194,'3_채널별_비용설정'!$D$6:$D$55,"&lt;="&amp;B194,'3_채널별_비용설정'!$O$6:$O$55,"&gt;="&amp;B194)=0,"비용 설정 필요",IF(COUNTIFS('3_채널별_비용설정'!$C$6:$C$55,C194,'3_채널별_비용설정'!$D$6:$D$55,"&lt;="&amp;B194,'3_채널별_비용설정'!$O$6:$O$55,"&gt;="&amp;B194)&gt;1,"기간 중복 확인","정상"))))</f>
      </c>
      <c r="K194" s="15" t="str">
        <f>IF(J194="","",IF(J194&lt;&gt;"정상","비용 설정 필요",SUMIFS('3_채널별_비용설정'!$F$6:$F$55,'3_채널별_비용설정'!$C$6:$C$55,C194,'3_채널별_비용설정'!$D$6:$D$55,"&lt;="&amp;B194,'3_채널별_비용설정'!$O$6:$O$55,"&gt;="&amp;B194)))</f>
      </c>
      <c r="L194" s="12" t="str">
        <f>IF(J194="","",IF(J194&lt;&gt;"정상","비용 설정 필요",ROUND(G194*K194,0)))</f>
      </c>
      <c r="M194" s="12" t="str">
        <f>IF(J194="","",IF(J194&lt;&gt;"정상","비용 설정 필요",SUMIFS('3_채널별_비용설정'!$L$6:$L$55,'3_채널별_비용설정'!$C$6:$C$55,C194,'3_채널별_비용설정'!$D$6:$D$55,"&lt;="&amp;B194,'3_채널별_비용설정'!$O$6:$O$55,"&gt;="&amp;B194)))</f>
      </c>
      <c r="N194" s="12" t="str">
        <f>IF(J194="","",IF(J194&lt;&gt;"정상","비용 설정 필요",SUMIFS('3_채널별_비용설정'!$M$6:$M$55,'3_채널별_비용설정'!$C$6:$C$55,C194,'3_채널별_비용설정'!$D$6:$D$55,"&lt;="&amp;B194,'3_채널별_비용설정'!$O$6:$O$55,"&gt;="&amp;B194)))</f>
      </c>
      <c r="O194" s="12" t="str">
        <f>IF(J194="","",IF(J194&lt;&gt;"정상","비용 설정 필요",(D194*M194)+(E194*N194)))</f>
      </c>
      <c r="P194" s="12" t="str">
        <f>IF(J194="","",IF(J194&lt;&gt;"정상","비용 설정 필요",L194+O194+H194))</f>
      </c>
      <c r="Q194" s="13" t="str">
        <f>IF(J194="","",IF(J194&lt;&gt;"정상","비용 설정 필요",G194-P194))</f>
      </c>
      <c r="R194" s="14" t="str">
        <f>IF(J194="","",IF(J194&lt;&gt;"정상","비용 설정 필요",IFERROR(Q194/G194,0)))</f>
      </c>
    </row>
    <row r="195">
      <c r="B195" s="7"/>
      <c r="C195" s="5"/>
      <c r="D195" s="8"/>
      <c r="E195" s="8"/>
      <c r="F195" s="12" t="str">
        <f>IF(AND(B195="",C195=""),"",SUM(D195:E195))</f>
      </c>
      <c r="G195" s="8"/>
      <c r="H195" s="8"/>
      <c r="I195" s="6"/>
      <c r="J195" s="10" t="str">
        <f>IF(AND(B195="",C195=""),"",IF(OR(B195="",C195=""),"비용 설정 필요",IF(COUNTIFS('3_채널별_비용설정'!$C$6:$C$55,C195,'3_채널별_비용설정'!$D$6:$D$55,"&lt;="&amp;B195,'3_채널별_비용설정'!$O$6:$O$55,"&gt;="&amp;B195)=0,"비용 설정 필요",IF(COUNTIFS('3_채널별_비용설정'!$C$6:$C$55,C195,'3_채널별_비용설정'!$D$6:$D$55,"&lt;="&amp;B195,'3_채널별_비용설정'!$O$6:$O$55,"&gt;="&amp;B195)&gt;1,"기간 중복 확인","정상"))))</f>
      </c>
      <c r="K195" s="15" t="str">
        <f>IF(J195="","",IF(J195&lt;&gt;"정상","비용 설정 필요",SUMIFS('3_채널별_비용설정'!$F$6:$F$55,'3_채널별_비용설정'!$C$6:$C$55,C195,'3_채널별_비용설정'!$D$6:$D$55,"&lt;="&amp;B195,'3_채널별_비용설정'!$O$6:$O$55,"&gt;="&amp;B195)))</f>
      </c>
      <c r="L195" s="12" t="str">
        <f>IF(J195="","",IF(J195&lt;&gt;"정상","비용 설정 필요",ROUND(G195*K195,0)))</f>
      </c>
      <c r="M195" s="12" t="str">
        <f>IF(J195="","",IF(J195&lt;&gt;"정상","비용 설정 필요",SUMIFS('3_채널별_비용설정'!$L$6:$L$55,'3_채널별_비용설정'!$C$6:$C$55,C195,'3_채널별_비용설정'!$D$6:$D$55,"&lt;="&amp;B195,'3_채널별_비용설정'!$O$6:$O$55,"&gt;="&amp;B195)))</f>
      </c>
      <c r="N195" s="12" t="str">
        <f>IF(J195="","",IF(J195&lt;&gt;"정상","비용 설정 필요",SUMIFS('3_채널별_비용설정'!$M$6:$M$55,'3_채널별_비용설정'!$C$6:$C$55,C195,'3_채널별_비용설정'!$D$6:$D$55,"&lt;="&amp;B195,'3_채널별_비용설정'!$O$6:$O$55,"&gt;="&amp;B195)))</f>
      </c>
      <c r="O195" s="12" t="str">
        <f>IF(J195="","",IF(J195&lt;&gt;"정상","비용 설정 필요",(D195*M195)+(E195*N195)))</f>
      </c>
      <c r="P195" s="12" t="str">
        <f>IF(J195="","",IF(J195&lt;&gt;"정상","비용 설정 필요",L195+O195+H195))</f>
      </c>
      <c r="Q195" s="13" t="str">
        <f>IF(J195="","",IF(J195&lt;&gt;"정상","비용 설정 필요",G195-P195))</f>
      </c>
      <c r="R195" s="14" t="str">
        <f>IF(J195="","",IF(J195&lt;&gt;"정상","비용 설정 필요",IFERROR(Q195/G195,0)))</f>
      </c>
    </row>
    <row r="196">
      <c r="B196" s="7"/>
      <c r="C196" s="5"/>
      <c r="D196" s="8"/>
      <c r="E196" s="8"/>
      <c r="F196" s="12" t="str">
        <f>IF(AND(B196="",C196=""),"",SUM(D196:E196))</f>
      </c>
      <c r="G196" s="8"/>
      <c r="H196" s="8"/>
      <c r="I196" s="6"/>
      <c r="J196" s="10" t="str">
        <f>IF(AND(B196="",C196=""),"",IF(OR(B196="",C196=""),"비용 설정 필요",IF(COUNTIFS('3_채널별_비용설정'!$C$6:$C$55,C196,'3_채널별_비용설정'!$D$6:$D$55,"&lt;="&amp;B196,'3_채널별_비용설정'!$O$6:$O$55,"&gt;="&amp;B196)=0,"비용 설정 필요",IF(COUNTIFS('3_채널별_비용설정'!$C$6:$C$55,C196,'3_채널별_비용설정'!$D$6:$D$55,"&lt;="&amp;B196,'3_채널별_비용설정'!$O$6:$O$55,"&gt;="&amp;B196)&gt;1,"기간 중복 확인","정상"))))</f>
      </c>
      <c r="K196" s="15" t="str">
        <f>IF(J196="","",IF(J196&lt;&gt;"정상","비용 설정 필요",SUMIFS('3_채널별_비용설정'!$F$6:$F$55,'3_채널별_비용설정'!$C$6:$C$55,C196,'3_채널별_비용설정'!$D$6:$D$55,"&lt;="&amp;B196,'3_채널별_비용설정'!$O$6:$O$55,"&gt;="&amp;B196)))</f>
      </c>
      <c r="L196" s="12" t="str">
        <f>IF(J196="","",IF(J196&lt;&gt;"정상","비용 설정 필요",ROUND(G196*K196,0)))</f>
      </c>
      <c r="M196" s="12" t="str">
        <f>IF(J196="","",IF(J196&lt;&gt;"정상","비용 설정 필요",SUMIFS('3_채널별_비용설정'!$L$6:$L$55,'3_채널별_비용설정'!$C$6:$C$55,C196,'3_채널별_비용설정'!$D$6:$D$55,"&lt;="&amp;B196,'3_채널별_비용설정'!$O$6:$O$55,"&gt;="&amp;B196)))</f>
      </c>
      <c r="N196" s="12" t="str">
        <f>IF(J196="","",IF(J196&lt;&gt;"정상","비용 설정 필요",SUMIFS('3_채널별_비용설정'!$M$6:$M$55,'3_채널별_비용설정'!$C$6:$C$55,C196,'3_채널별_비용설정'!$D$6:$D$55,"&lt;="&amp;B196,'3_채널별_비용설정'!$O$6:$O$55,"&gt;="&amp;B196)))</f>
      </c>
      <c r="O196" s="12" t="str">
        <f>IF(J196="","",IF(J196&lt;&gt;"정상","비용 설정 필요",(D196*M196)+(E196*N196)))</f>
      </c>
      <c r="P196" s="12" t="str">
        <f>IF(J196="","",IF(J196&lt;&gt;"정상","비용 설정 필요",L196+O196+H196))</f>
      </c>
      <c r="Q196" s="13" t="str">
        <f>IF(J196="","",IF(J196&lt;&gt;"정상","비용 설정 필요",G196-P196))</f>
      </c>
      <c r="R196" s="14" t="str">
        <f>IF(J196="","",IF(J196&lt;&gt;"정상","비용 설정 필요",IFERROR(Q196/G196,0)))</f>
      </c>
    </row>
    <row r="197">
      <c r="B197" s="7"/>
      <c r="C197" s="5"/>
      <c r="D197" s="8"/>
      <c r="E197" s="8"/>
      <c r="F197" s="12" t="str">
        <f>IF(AND(B197="",C197=""),"",SUM(D197:E197))</f>
      </c>
      <c r="G197" s="8"/>
      <c r="H197" s="8"/>
      <c r="I197" s="6"/>
      <c r="J197" s="10" t="str">
        <f>IF(AND(B197="",C197=""),"",IF(OR(B197="",C197=""),"비용 설정 필요",IF(COUNTIFS('3_채널별_비용설정'!$C$6:$C$55,C197,'3_채널별_비용설정'!$D$6:$D$55,"&lt;="&amp;B197,'3_채널별_비용설정'!$O$6:$O$55,"&gt;="&amp;B197)=0,"비용 설정 필요",IF(COUNTIFS('3_채널별_비용설정'!$C$6:$C$55,C197,'3_채널별_비용설정'!$D$6:$D$55,"&lt;="&amp;B197,'3_채널별_비용설정'!$O$6:$O$55,"&gt;="&amp;B197)&gt;1,"기간 중복 확인","정상"))))</f>
      </c>
      <c r="K197" s="15" t="str">
        <f>IF(J197="","",IF(J197&lt;&gt;"정상","비용 설정 필요",SUMIFS('3_채널별_비용설정'!$F$6:$F$55,'3_채널별_비용설정'!$C$6:$C$55,C197,'3_채널별_비용설정'!$D$6:$D$55,"&lt;="&amp;B197,'3_채널별_비용설정'!$O$6:$O$55,"&gt;="&amp;B197)))</f>
      </c>
      <c r="L197" s="12" t="str">
        <f>IF(J197="","",IF(J197&lt;&gt;"정상","비용 설정 필요",ROUND(G197*K197,0)))</f>
      </c>
      <c r="M197" s="12" t="str">
        <f>IF(J197="","",IF(J197&lt;&gt;"정상","비용 설정 필요",SUMIFS('3_채널별_비용설정'!$L$6:$L$55,'3_채널별_비용설정'!$C$6:$C$55,C197,'3_채널별_비용설정'!$D$6:$D$55,"&lt;="&amp;B197,'3_채널별_비용설정'!$O$6:$O$55,"&gt;="&amp;B197)))</f>
      </c>
      <c r="N197" s="12" t="str">
        <f>IF(J197="","",IF(J197&lt;&gt;"정상","비용 설정 필요",SUMIFS('3_채널별_비용설정'!$M$6:$M$55,'3_채널별_비용설정'!$C$6:$C$55,C197,'3_채널별_비용설정'!$D$6:$D$55,"&lt;="&amp;B197,'3_채널별_비용설정'!$O$6:$O$55,"&gt;="&amp;B197)))</f>
      </c>
      <c r="O197" s="12" t="str">
        <f>IF(J197="","",IF(J197&lt;&gt;"정상","비용 설정 필요",(D197*M197)+(E197*N197)))</f>
      </c>
      <c r="P197" s="12" t="str">
        <f>IF(J197="","",IF(J197&lt;&gt;"정상","비용 설정 필요",L197+O197+H197))</f>
      </c>
      <c r="Q197" s="13" t="str">
        <f>IF(J197="","",IF(J197&lt;&gt;"정상","비용 설정 필요",G197-P197))</f>
      </c>
      <c r="R197" s="14" t="str">
        <f>IF(J197="","",IF(J197&lt;&gt;"정상","비용 설정 필요",IFERROR(Q197/G197,0)))</f>
      </c>
    </row>
    <row r="198">
      <c r="B198" s="7"/>
      <c r="C198" s="5"/>
      <c r="D198" s="8"/>
      <c r="E198" s="8"/>
      <c r="F198" s="12" t="str">
        <f>IF(AND(B198="",C198=""),"",SUM(D198:E198))</f>
      </c>
      <c r="G198" s="8"/>
      <c r="H198" s="8"/>
      <c r="I198" s="6"/>
      <c r="J198" s="10" t="str">
        <f>IF(AND(B198="",C198=""),"",IF(OR(B198="",C198=""),"비용 설정 필요",IF(COUNTIFS('3_채널별_비용설정'!$C$6:$C$55,C198,'3_채널별_비용설정'!$D$6:$D$55,"&lt;="&amp;B198,'3_채널별_비용설정'!$O$6:$O$55,"&gt;="&amp;B198)=0,"비용 설정 필요",IF(COUNTIFS('3_채널별_비용설정'!$C$6:$C$55,C198,'3_채널별_비용설정'!$D$6:$D$55,"&lt;="&amp;B198,'3_채널별_비용설정'!$O$6:$O$55,"&gt;="&amp;B198)&gt;1,"기간 중복 확인","정상"))))</f>
      </c>
      <c r="K198" s="15" t="str">
        <f>IF(J198="","",IF(J198&lt;&gt;"정상","비용 설정 필요",SUMIFS('3_채널별_비용설정'!$F$6:$F$55,'3_채널별_비용설정'!$C$6:$C$55,C198,'3_채널별_비용설정'!$D$6:$D$55,"&lt;="&amp;B198,'3_채널별_비용설정'!$O$6:$O$55,"&gt;="&amp;B198)))</f>
      </c>
      <c r="L198" s="12" t="str">
        <f>IF(J198="","",IF(J198&lt;&gt;"정상","비용 설정 필요",ROUND(G198*K198,0)))</f>
      </c>
      <c r="M198" s="12" t="str">
        <f>IF(J198="","",IF(J198&lt;&gt;"정상","비용 설정 필요",SUMIFS('3_채널별_비용설정'!$L$6:$L$55,'3_채널별_비용설정'!$C$6:$C$55,C198,'3_채널별_비용설정'!$D$6:$D$55,"&lt;="&amp;B198,'3_채널별_비용설정'!$O$6:$O$55,"&gt;="&amp;B198)))</f>
      </c>
      <c r="N198" s="12" t="str">
        <f>IF(J198="","",IF(J198&lt;&gt;"정상","비용 설정 필요",SUMIFS('3_채널별_비용설정'!$M$6:$M$55,'3_채널별_비용설정'!$C$6:$C$55,C198,'3_채널별_비용설정'!$D$6:$D$55,"&lt;="&amp;B198,'3_채널별_비용설정'!$O$6:$O$55,"&gt;="&amp;B198)))</f>
      </c>
      <c r="O198" s="12" t="str">
        <f>IF(J198="","",IF(J198&lt;&gt;"정상","비용 설정 필요",(D198*M198)+(E198*N198)))</f>
      </c>
      <c r="P198" s="12" t="str">
        <f>IF(J198="","",IF(J198&lt;&gt;"정상","비용 설정 필요",L198+O198+H198))</f>
      </c>
      <c r="Q198" s="13" t="str">
        <f>IF(J198="","",IF(J198&lt;&gt;"정상","비용 설정 필요",G198-P198))</f>
      </c>
      <c r="R198" s="14" t="str">
        <f>IF(J198="","",IF(J198&lt;&gt;"정상","비용 설정 필요",IFERROR(Q198/G198,0)))</f>
      </c>
    </row>
    <row r="199">
      <c r="B199" s="7"/>
      <c r="C199" s="5"/>
      <c r="D199" s="8"/>
      <c r="E199" s="8"/>
      <c r="F199" s="12" t="str">
        <f>IF(AND(B199="",C199=""),"",SUM(D199:E199))</f>
      </c>
      <c r="G199" s="8"/>
      <c r="H199" s="8"/>
      <c r="I199" s="6"/>
      <c r="J199" s="10" t="str">
        <f>IF(AND(B199="",C199=""),"",IF(OR(B199="",C199=""),"비용 설정 필요",IF(COUNTIFS('3_채널별_비용설정'!$C$6:$C$55,C199,'3_채널별_비용설정'!$D$6:$D$55,"&lt;="&amp;B199,'3_채널별_비용설정'!$O$6:$O$55,"&gt;="&amp;B199)=0,"비용 설정 필요",IF(COUNTIFS('3_채널별_비용설정'!$C$6:$C$55,C199,'3_채널별_비용설정'!$D$6:$D$55,"&lt;="&amp;B199,'3_채널별_비용설정'!$O$6:$O$55,"&gt;="&amp;B199)&gt;1,"기간 중복 확인","정상"))))</f>
      </c>
      <c r="K199" s="15" t="str">
        <f>IF(J199="","",IF(J199&lt;&gt;"정상","비용 설정 필요",SUMIFS('3_채널별_비용설정'!$F$6:$F$55,'3_채널별_비용설정'!$C$6:$C$55,C199,'3_채널별_비용설정'!$D$6:$D$55,"&lt;="&amp;B199,'3_채널별_비용설정'!$O$6:$O$55,"&gt;="&amp;B199)))</f>
      </c>
      <c r="L199" s="12" t="str">
        <f>IF(J199="","",IF(J199&lt;&gt;"정상","비용 설정 필요",ROUND(G199*K199,0)))</f>
      </c>
      <c r="M199" s="12" t="str">
        <f>IF(J199="","",IF(J199&lt;&gt;"정상","비용 설정 필요",SUMIFS('3_채널별_비용설정'!$L$6:$L$55,'3_채널별_비용설정'!$C$6:$C$55,C199,'3_채널별_비용설정'!$D$6:$D$55,"&lt;="&amp;B199,'3_채널별_비용설정'!$O$6:$O$55,"&gt;="&amp;B199)))</f>
      </c>
      <c r="N199" s="12" t="str">
        <f>IF(J199="","",IF(J199&lt;&gt;"정상","비용 설정 필요",SUMIFS('3_채널별_비용설정'!$M$6:$M$55,'3_채널별_비용설정'!$C$6:$C$55,C199,'3_채널별_비용설정'!$D$6:$D$55,"&lt;="&amp;B199,'3_채널별_비용설정'!$O$6:$O$55,"&gt;="&amp;B199)))</f>
      </c>
      <c r="O199" s="12" t="str">
        <f>IF(J199="","",IF(J199&lt;&gt;"정상","비용 설정 필요",(D199*M199)+(E199*N199)))</f>
      </c>
      <c r="P199" s="12" t="str">
        <f>IF(J199="","",IF(J199&lt;&gt;"정상","비용 설정 필요",L199+O199+H199))</f>
      </c>
      <c r="Q199" s="13" t="str">
        <f>IF(J199="","",IF(J199&lt;&gt;"정상","비용 설정 필요",G199-P199))</f>
      </c>
      <c r="R199" s="14" t="str">
        <f>IF(J199="","",IF(J199&lt;&gt;"정상","비용 설정 필요",IFERROR(Q199/G199,0)))</f>
      </c>
    </row>
    <row r="200">
      <c r="B200" s="7"/>
      <c r="C200" s="5"/>
      <c r="D200" s="8"/>
      <c r="E200" s="8"/>
      <c r="F200" s="12" t="str">
        <f>IF(AND(B200="",C200=""),"",SUM(D200:E200))</f>
      </c>
      <c r="G200" s="8"/>
      <c r="H200" s="8"/>
      <c r="I200" s="6"/>
      <c r="J200" s="10" t="str">
        <f>IF(AND(B200="",C200=""),"",IF(OR(B200="",C200=""),"비용 설정 필요",IF(COUNTIFS('3_채널별_비용설정'!$C$6:$C$55,C200,'3_채널별_비용설정'!$D$6:$D$55,"&lt;="&amp;B200,'3_채널별_비용설정'!$O$6:$O$55,"&gt;="&amp;B200)=0,"비용 설정 필요",IF(COUNTIFS('3_채널별_비용설정'!$C$6:$C$55,C200,'3_채널별_비용설정'!$D$6:$D$55,"&lt;="&amp;B200,'3_채널별_비용설정'!$O$6:$O$55,"&gt;="&amp;B200)&gt;1,"기간 중복 확인","정상"))))</f>
      </c>
      <c r="K200" s="15" t="str">
        <f>IF(J200="","",IF(J200&lt;&gt;"정상","비용 설정 필요",SUMIFS('3_채널별_비용설정'!$F$6:$F$55,'3_채널별_비용설정'!$C$6:$C$55,C200,'3_채널별_비용설정'!$D$6:$D$55,"&lt;="&amp;B200,'3_채널별_비용설정'!$O$6:$O$55,"&gt;="&amp;B200)))</f>
      </c>
      <c r="L200" s="12" t="str">
        <f>IF(J200="","",IF(J200&lt;&gt;"정상","비용 설정 필요",ROUND(G200*K200,0)))</f>
      </c>
      <c r="M200" s="12" t="str">
        <f>IF(J200="","",IF(J200&lt;&gt;"정상","비용 설정 필요",SUMIFS('3_채널별_비용설정'!$L$6:$L$55,'3_채널별_비용설정'!$C$6:$C$55,C200,'3_채널별_비용설정'!$D$6:$D$55,"&lt;="&amp;B200,'3_채널별_비용설정'!$O$6:$O$55,"&gt;="&amp;B200)))</f>
      </c>
      <c r="N200" s="12" t="str">
        <f>IF(J200="","",IF(J200&lt;&gt;"정상","비용 설정 필요",SUMIFS('3_채널별_비용설정'!$M$6:$M$55,'3_채널별_비용설정'!$C$6:$C$55,C200,'3_채널별_비용설정'!$D$6:$D$55,"&lt;="&amp;B200,'3_채널별_비용설정'!$O$6:$O$55,"&gt;="&amp;B200)))</f>
      </c>
      <c r="O200" s="12" t="str">
        <f>IF(J200="","",IF(J200&lt;&gt;"정상","비용 설정 필요",(D200*M200)+(E200*N200)))</f>
      </c>
      <c r="P200" s="12" t="str">
        <f>IF(J200="","",IF(J200&lt;&gt;"정상","비용 설정 필요",L200+O200+H200))</f>
      </c>
      <c r="Q200" s="13" t="str">
        <f>IF(J200="","",IF(J200&lt;&gt;"정상","비용 설정 필요",G200-P200))</f>
      </c>
      <c r="R200" s="14" t="str">
        <f>IF(J200="","",IF(J200&lt;&gt;"정상","비용 설정 필요",IFERROR(Q200/G200,0)))</f>
      </c>
    </row>
    <row r="201">
      <c r="B201" s="7"/>
      <c r="C201" s="5"/>
      <c r="D201" s="8"/>
      <c r="E201" s="8"/>
      <c r="F201" s="12" t="str">
        <f>IF(AND(B201="",C201=""),"",SUM(D201:E201))</f>
      </c>
      <c r="G201" s="8"/>
      <c r="H201" s="8"/>
      <c r="I201" s="6"/>
      <c r="J201" s="10" t="str">
        <f>IF(AND(B201="",C201=""),"",IF(OR(B201="",C201=""),"비용 설정 필요",IF(COUNTIFS('3_채널별_비용설정'!$C$6:$C$55,C201,'3_채널별_비용설정'!$D$6:$D$55,"&lt;="&amp;B201,'3_채널별_비용설정'!$O$6:$O$55,"&gt;="&amp;B201)=0,"비용 설정 필요",IF(COUNTIFS('3_채널별_비용설정'!$C$6:$C$55,C201,'3_채널별_비용설정'!$D$6:$D$55,"&lt;="&amp;B201,'3_채널별_비용설정'!$O$6:$O$55,"&gt;="&amp;B201)&gt;1,"기간 중복 확인","정상"))))</f>
      </c>
      <c r="K201" s="15" t="str">
        <f>IF(J201="","",IF(J201&lt;&gt;"정상","비용 설정 필요",SUMIFS('3_채널별_비용설정'!$F$6:$F$55,'3_채널별_비용설정'!$C$6:$C$55,C201,'3_채널별_비용설정'!$D$6:$D$55,"&lt;="&amp;B201,'3_채널별_비용설정'!$O$6:$O$55,"&gt;="&amp;B201)))</f>
      </c>
      <c r="L201" s="12" t="str">
        <f>IF(J201="","",IF(J201&lt;&gt;"정상","비용 설정 필요",ROUND(G201*K201,0)))</f>
      </c>
      <c r="M201" s="12" t="str">
        <f>IF(J201="","",IF(J201&lt;&gt;"정상","비용 설정 필요",SUMIFS('3_채널별_비용설정'!$L$6:$L$55,'3_채널별_비용설정'!$C$6:$C$55,C201,'3_채널별_비용설정'!$D$6:$D$55,"&lt;="&amp;B201,'3_채널별_비용설정'!$O$6:$O$55,"&gt;="&amp;B201)))</f>
      </c>
      <c r="N201" s="12" t="str">
        <f>IF(J201="","",IF(J201&lt;&gt;"정상","비용 설정 필요",SUMIFS('3_채널별_비용설정'!$M$6:$M$55,'3_채널별_비용설정'!$C$6:$C$55,C201,'3_채널별_비용설정'!$D$6:$D$55,"&lt;="&amp;B201,'3_채널별_비용설정'!$O$6:$O$55,"&gt;="&amp;B201)))</f>
      </c>
      <c r="O201" s="12" t="str">
        <f>IF(J201="","",IF(J201&lt;&gt;"정상","비용 설정 필요",(D201*M201)+(E201*N201)))</f>
      </c>
      <c r="P201" s="12" t="str">
        <f>IF(J201="","",IF(J201&lt;&gt;"정상","비용 설정 필요",L201+O201+H201))</f>
      </c>
      <c r="Q201" s="13" t="str">
        <f>IF(J201="","",IF(J201&lt;&gt;"정상","비용 설정 필요",G201-P201))</f>
      </c>
      <c r="R201" s="14" t="str">
        <f>IF(J201="","",IF(J201&lt;&gt;"정상","비용 설정 필요",IFERROR(Q201/G201,0)))</f>
      </c>
    </row>
    <row r="202">
      <c r="B202" s="7"/>
      <c r="C202" s="5"/>
      <c r="D202" s="8"/>
      <c r="E202" s="8"/>
      <c r="F202" s="12" t="str">
        <f>IF(AND(B202="",C202=""),"",SUM(D202:E202))</f>
      </c>
      <c r="G202" s="8"/>
      <c r="H202" s="8"/>
      <c r="I202" s="6"/>
      <c r="J202" s="10" t="str">
        <f>IF(AND(B202="",C202=""),"",IF(OR(B202="",C202=""),"비용 설정 필요",IF(COUNTIFS('3_채널별_비용설정'!$C$6:$C$55,C202,'3_채널별_비용설정'!$D$6:$D$55,"&lt;="&amp;B202,'3_채널별_비용설정'!$O$6:$O$55,"&gt;="&amp;B202)=0,"비용 설정 필요",IF(COUNTIFS('3_채널별_비용설정'!$C$6:$C$55,C202,'3_채널별_비용설정'!$D$6:$D$55,"&lt;="&amp;B202,'3_채널별_비용설정'!$O$6:$O$55,"&gt;="&amp;B202)&gt;1,"기간 중복 확인","정상"))))</f>
      </c>
      <c r="K202" s="15" t="str">
        <f>IF(J202="","",IF(J202&lt;&gt;"정상","비용 설정 필요",SUMIFS('3_채널별_비용설정'!$F$6:$F$55,'3_채널별_비용설정'!$C$6:$C$55,C202,'3_채널별_비용설정'!$D$6:$D$55,"&lt;="&amp;B202,'3_채널별_비용설정'!$O$6:$O$55,"&gt;="&amp;B202)))</f>
      </c>
      <c r="L202" s="12" t="str">
        <f>IF(J202="","",IF(J202&lt;&gt;"정상","비용 설정 필요",ROUND(G202*K202,0)))</f>
      </c>
      <c r="M202" s="12" t="str">
        <f>IF(J202="","",IF(J202&lt;&gt;"정상","비용 설정 필요",SUMIFS('3_채널별_비용설정'!$L$6:$L$55,'3_채널별_비용설정'!$C$6:$C$55,C202,'3_채널별_비용설정'!$D$6:$D$55,"&lt;="&amp;B202,'3_채널별_비용설정'!$O$6:$O$55,"&gt;="&amp;B202)))</f>
      </c>
      <c r="N202" s="12" t="str">
        <f>IF(J202="","",IF(J202&lt;&gt;"정상","비용 설정 필요",SUMIFS('3_채널별_비용설정'!$M$6:$M$55,'3_채널별_비용설정'!$C$6:$C$55,C202,'3_채널별_비용설정'!$D$6:$D$55,"&lt;="&amp;B202,'3_채널별_비용설정'!$O$6:$O$55,"&gt;="&amp;B202)))</f>
      </c>
      <c r="O202" s="12" t="str">
        <f>IF(J202="","",IF(J202&lt;&gt;"정상","비용 설정 필요",(D202*M202)+(E202*N202)))</f>
      </c>
      <c r="P202" s="12" t="str">
        <f>IF(J202="","",IF(J202&lt;&gt;"정상","비용 설정 필요",L202+O202+H202))</f>
      </c>
      <c r="Q202" s="13" t="str">
        <f>IF(J202="","",IF(J202&lt;&gt;"정상","비용 설정 필요",G202-P202))</f>
      </c>
      <c r="R202" s="14" t="str">
        <f>IF(J202="","",IF(J202&lt;&gt;"정상","비용 설정 필요",IFERROR(Q202/G202,0)))</f>
      </c>
    </row>
    <row r="203">
      <c r="B203" s="7"/>
      <c r="C203" s="5"/>
      <c r="D203" s="8"/>
      <c r="E203" s="8"/>
      <c r="F203" s="12" t="str">
        <f>IF(AND(B203="",C203=""),"",SUM(D203:E203))</f>
      </c>
      <c r="G203" s="8"/>
      <c r="H203" s="8"/>
      <c r="I203" s="6"/>
      <c r="J203" s="10" t="str">
        <f>IF(AND(B203="",C203=""),"",IF(OR(B203="",C203=""),"비용 설정 필요",IF(COUNTIFS('3_채널별_비용설정'!$C$6:$C$55,C203,'3_채널별_비용설정'!$D$6:$D$55,"&lt;="&amp;B203,'3_채널별_비용설정'!$O$6:$O$55,"&gt;="&amp;B203)=0,"비용 설정 필요",IF(COUNTIFS('3_채널별_비용설정'!$C$6:$C$55,C203,'3_채널별_비용설정'!$D$6:$D$55,"&lt;="&amp;B203,'3_채널별_비용설정'!$O$6:$O$55,"&gt;="&amp;B203)&gt;1,"기간 중복 확인","정상"))))</f>
      </c>
      <c r="K203" s="15" t="str">
        <f>IF(J203="","",IF(J203&lt;&gt;"정상","비용 설정 필요",SUMIFS('3_채널별_비용설정'!$F$6:$F$55,'3_채널별_비용설정'!$C$6:$C$55,C203,'3_채널별_비용설정'!$D$6:$D$55,"&lt;="&amp;B203,'3_채널별_비용설정'!$O$6:$O$55,"&gt;="&amp;B203)))</f>
      </c>
      <c r="L203" s="12" t="str">
        <f>IF(J203="","",IF(J203&lt;&gt;"정상","비용 설정 필요",ROUND(G203*K203,0)))</f>
      </c>
      <c r="M203" s="12" t="str">
        <f>IF(J203="","",IF(J203&lt;&gt;"정상","비용 설정 필요",SUMIFS('3_채널별_비용설정'!$L$6:$L$55,'3_채널별_비용설정'!$C$6:$C$55,C203,'3_채널별_비용설정'!$D$6:$D$55,"&lt;="&amp;B203,'3_채널별_비용설정'!$O$6:$O$55,"&gt;="&amp;B203)))</f>
      </c>
      <c r="N203" s="12" t="str">
        <f>IF(J203="","",IF(J203&lt;&gt;"정상","비용 설정 필요",SUMIFS('3_채널별_비용설정'!$M$6:$M$55,'3_채널별_비용설정'!$C$6:$C$55,C203,'3_채널별_비용설정'!$D$6:$D$55,"&lt;="&amp;B203,'3_채널별_비용설정'!$O$6:$O$55,"&gt;="&amp;B203)))</f>
      </c>
      <c r="O203" s="12" t="str">
        <f>IF(J203="","",IF(J203&lt;&gt;"정상","비용 설정 필요",(D203*M203)+(E203*N203)))</f>
      </c>
      <c r="P203" s="12" t="str">
        <f>IF(J203="","",IF(J203&lt;&gt;"정상","비용 설정 필요",L203+O203+H203))</f>
      </c>
      <c r="Q203" s="13" t="str">
        <f>IF(J203="","",IF(J203&lt;&gt;"정상","비용 설정 필요",G203-P203))</f>
      </c>
      <c r="R203" s="14" t="str">
        <f>IF(J203="","",IF(J203&lt;&gt;"정상","비용 설정 필요",IFERROR(Q203/G203,0)))</f>
      </c>
    </row>
    <row r="204">
      <c r="B204" s="7"/>
      <c r="C204" s="5"/>
      <c r="D204" s="8"/>
      <c r="E204" s="8"/>
      <c r="F204" s="12" t="str">
        <f>IF(AND(B204="",C204=""),"",SUM(D204:E204))</f>
      </c>
      <c r="G204" s="8"/>
      <c r="H204" s="8"/>
      <c r="I204" s="6"/>
      <c r="J204" s="10" t="str">
        <f>IF(AND(B204="",C204=""),"",IF(OR(B204="",C204=""),"비용 설정 필요",IF(COUNTIFS('3_채널별_비용설정'!$C$6:$C$55,C204,'3_채널별_비용설정'!$D$6:$D$55,"&lt;="&amp;B204,'3_채널별_비용설정'!$O$6:$O$55,"&gt;="&amp;B204)=0,"비용 설정 필요",IF(COUNTIFS('3_채널별_비용설정'!$C$6:$C$55,C204,'3_채널별_비용설정'!$D$6:$D$55,"&lt;="&amp;B204,'3_채널별_비용설정'!$O$6:$O$55,"&gt;="&amp;B204)&gt;1,"기간 중복 확인","정상"))))</f>
      </c>
      <c r="K204" s="15" t="str">
        <f>IF(J204="","",IF(J204&lt;&gt;"정상","비용 설정 필요",SUMIFS('3_채널별_비용설정'!$F$6:$F$55,'3_채널별_비용설정'!$C$6:$C$55,C204,'3_채널별_비용설정'!$D$6:$D$55,"&lt;="&amp;B204,'3_채널별_비용설정'!$O$6:$O$55,"&gt;="&amp;B204)))</f>
      </c>
      <c r="L204" s="12" t="str">
        <f>IF(J204="","",IF(J204&lt;&gt;"정상","비용 설정 필요",ROUND(G204*K204,0)))</f>
      </c>
      <c r="M204" s="12" t="str">
        <f>IF(J204="","",IF(J204&lt;&gt;"정상","비용 설정 필요",SUMIFS('3_채널별_비용설정'!$L$6:$L$55,'3_채널별_비용설정'!$C$6:$C$55,C204,'3_채널별_비용설정'!$D$6:$D$55,"&lt;="&amp;B204,'3_채널별_비용설정'!$O$6:$O$55,"&gt;="&amp;B204)))</f>
      </c>
      <c r="N204" s="12" t="str">
        <f>IF(J204="","",IF(J204&lt;&gt;"정상","비용 설정 필요",SUMIFS('3_채널별_비용설정'!$M$6:$M$55,'3_채널별_비용설정'!$C$6:$C$55,C204,'3_채널별_비용설정'!$D$6:$D$55,"&lt;="&amp;B204,'3_채널별_비용설정'!$O$6:$O$55,"&gt;="&amp;B204)))</f>
      </c>
      <c r="O204" s="12" t="str">
        <f>IF(J204="","",IF(J204&lt;&gt;"정상","비용 설정 필요",(D204*M204)+(E204*N204)))</f>
      </c>
      <c r="P204" s="12" t="str">
        <f>IF(J204="","",IF(J204&lt;&gt;"정상","비용 설정 필요",L204+O204+H204))</f>
      </c>
      <c r="Q204" s="13" t="str">
        <f>IF(J204="","",IF(J204&lt;&gt;"정상","비용 설정 필요",G204-P204))</f>
      </c>
      <c r="R204" s="14" t="str">
        <f>IF(J204="","",IF(J204&lt;&gt;"정상","비용 설정 필요",IFERROR(Q204/G204,0)))</f>
      </c>
    </row>
    <row r="205">
      <c r="B205" s="7"/>
      <c r="C205" s="5"/>
      <c r="D205" s="8"/>
      <c r="E205" s="8"/>
      <c r="F205" s="12" t="str">
        <f>IF(AND(B205="",C205=""),"",SUM(D205:E205))</f>
      </c>
      <c r="G205" s="8"/>
      <c r="H205" s="8"/>
      <c r="I205" s="6"/>
      <c r="J205" s="10" t="str">
        <f>IF(AND(B205="",C205=""),"",IF(OR(B205="",C205=""),"비용 설정 필요",IF(COUNTIFS('3_채널별_비용설정'!$C$6:$C$55,C205,'3_채널별_비용설정'!$D$6:$D$55,"&lt;="&amp;B205,'3_채널별_비용설정'!$O$6:$O$55,"&gt;="&amp;B205)=0,"비용 설정 필요",IF(COUNTIFS('3_채널별_비용설정'!$C$6:$C$55,C205,'3_채널별_비용설정'!$D$6:$D$55,"&lt;="&amp;B205,'3_채널별_비용설정'!$O$6:$O$55,"&gt;="&amp;B205)&gt;1,"기간 중복 확인","정상"))))</f>
      </c>
      <c r="K205" s="15" t="str">
        <f>IF(J205="","",IF(J205&lt;&gt;"정상","비용 설정 필요",SUMIFS('3_채널별_비용설정'!$F$6:$F$55,'3_채널별_비용설정'!$C$6:$C$55,C205,'3_채널별_비용설정'!$D$6:$D$55,"&lt;="&amp;B205,'3_채널별_비용설정'!$O$6:$O$55,"&gt;="&amp;B205)))</f>
      </c>
      <c r="L205" s="12" t="str">
        <f>IF(J205="","",IF(J205&lt;&gt;"정상","비용 설정 필요",ROUND(G205*K205,0)))</f>
      </c>
      <c r="M205" s="12" t="str">
        <f>IF(J205="","",IF(J205&lt;&gt;"정상","비용 설정 필요",SUMIFS('3_채널별_비용설정'!$L$6:$L$55,'3_채널별_비용설정'!$C$6:$C$55,C205,'3_채널별_비용설정'!$D$6:$D$55,"&lt;="&amp;B205,'3_채널별_비용설정'!$O$6:$O$55,"&gt;="&amp;B205)))</f>
      </c>
      <c r="N205" s="12" t="str">
        <f>IF(J205="","",IF(J205&lt;&gt;"정상","비용 설정 필요",SUMIFS('3_채널별_비용설정'!$M$6:$M$55,'3_채널별_비용설정'!$C$6:$C$55,C205,'3_채널별_비용설정'!$D$6:$D$55,"&lt;="&amp;B205,'3_채널별_비용설정'!$O$6:$O$55,"&gt;="&amp;B205)))</f>
      </c>
      <c r="O205" s="12" t="str">
        <f>IF(J205="","",IF(J205&lt;&gt;"정상","비용 설정 필요",(D205*M205)+(E205*N205)))</f>
      </c>
      <c r="P205" s="12" t="str">
        <f>IF(J205="","",IF(J205&lt;&gt;"정상","비용 설정 필요",L205+O205+H205))</f>
      </c>
      <c r="Q205" s="13" t="str">
        <f>IF(J205="","",IF(J205&lt;&gt;"정상","비용 설정 필요",G205-P205))</f>
      </c>
      <c r="R205" s="14" t="str">
        <f>IF(J205="","",IF(J205&lt;&gt;"정상","비용 설정 필요",IFERROR(Q205/G205,0)))</f>
      </c>
    </row>
    <row r="206">
      <c r="B206" s="7"/>
      <c r="C206" s="5"/>
      <c r="D206" s="8"/>
      <c r="E206" s="8"/>
      <c r="F206" s="12" t="str">
        <f>IF(AND(B206="",C206=""),"",SUM(D206:E206))</f>
      </c>
      <c r="G206" s="8"/>
      <c r="H206" s="8"/>
      <c r="I206" s="6"/>
      <c r="J206" s="10" t="str">
        <f>IF(AND(B206="",C206=""),"",IF(OR(B206="",C206=""),"비용 설정 필요",IF(COUNTIFS('3_채널별_비용설정'!$C$6:$C$55,C206,'3_채널별_비용설정'!$D$6:$D$55,"&lt;="&amp;B206,'3_채널별_비용설정'!$O$6:$O$55,"&gt;="&amp;B206)=0,"비용 설정 필요",IF(COUNTIFS('3_채널별_비용설정'!$C$6:$C$55,C206,'3_채널별_비용설정'!$D$6:$D$55,"&lt;="&amp;B206,'3_채널별_비용설정'!$O$6:$O$55,"&gt;="&amp;B206)&gt;1,"기간 중복 확인","정상"))))</f>
      </c>
      <c r="K206" s="15" t="str">
        <f>IF(J206="","",IF(J206&lt;&gt;"정상","비용 설정 필요",SUMIFS('3_채널별_비용설정'!$F$6:$F$55,'3_채널별_비용설정'!$C$6:$C$55,C206,'3_채널별_비용설정'!$D$6:$D$55,"&lt;="&amp;B206,'3_채널별_비용설정'!$O$6:$O$55,"&gt;="&amp;B206)))</f>
      </c>
      <c r="L206" s="12" t="str">
        <f>IF(J206="","",IF(J206&lt;&gt;"정상","비용 설정 필요",ROUND(G206*K206,0)))</f>
      </c>
      <c r="M206" s="12" t="str">
        <f>IF(J206="","",IF(J206&lt;&gt;"정상","비용 설정 필요",SUMIFS('3_채널별_비용설정'!$L$6:$L$55,'3_채널별_비용설정'!$C$6:$C$55,C206,'3_채널별_비용설정'!$D$6:$D$55,"&lt;="&amp;B206,'3_채널별_비용설정'!$O$6:$O$55,"&gt;="&amp;B206)))</f>
      </c>
      <c r="N206" s="12" t="str">
        <f>IF(J206="","",IF(J206&lt;&gt;"정상","비용 설정 필요",SUMIFS('3_채널별_비용설정'!$M$6:$M$55,'3_채널별_비용설정'!$C$6:$C$55,C206,'3_채널별_비용설정'!$D$6:$D$55,"&lt;="&amp;B206,'3_채널별_비용설정'!$O$6:$O$55,"&gt;="&amp;B206)))</f>
      </c>
      <c r="O206" s="12" t="str">
        <f>IF(J206="","",IF(J206&lt;&gt;"정상","비용 설정 필요",(D206*M206)+(E206*N206)))</f>
      </c>
      <c r="P206" s="12" t="str">
        <f>IF(J206="","",IF(J206&lt;&gt;"정상","비용 설정 필요",L206+O206+H206))</f>
      </c>
      <c r="Q206" s="13" t="str">
        <f>IF(J206="","",IF(J206&lt;&gt;"정상","비용 설정 필요",G206-P206))</f>
      </c>
      <c r="R206" s="14" t="str">
        <f>IF(J206="","",IF(J206&lt;&gt;"정상","비용 설정 필요",IFERROR(Q206/G206,0)))</f>
      </c>
    </row>
    <row r="207">
      <c r="B207" s="7"/>
      <c r="C207" s="5"/>
      <c r="D207" s="8"/>
      <c r="E207" s="8"/>
      <c r="F207" s="12" t="str">
        <f>IF(AND(B207="",C207=""),"",SUM(D207:E207))</f>
      </c>
      <c r="G207" s="8"/>
      <c r="H207" s="8"/>
      <c r="I207" s="6"/>
      <c r="J207" s="10" t="str">
        <f>IF(AND(B207="",C207=""),"",IF(OR(B207="",C207=""),"비용 설정 필요",IF(COUNTIFS('3_채널별_비용설정'!$C$6:$C$55,C207,'3_채널별_비용설정'!$D$6:$D$55,"&lt;="&amp;B207,'3_채널별_비용설정'!$O$6:$O$55,"&gt;="&amp;B207)=0,"비용 설정 필요",IF(COUNTIFS('3_채널별_비용설정'!$C$6:$C$55,C207,'3_채널별_비용설정'!$D$6:$D$55,"&lt;="&amp;B207,'3_채널별_비용설정'!$O$6:$O$55,"&gt;="&amp;B207)&gt;1,"기간 중복 확인","정상"))))</f>
      </c>
      <c r="K207" s="15" t="str">
        <f>IF(J207="","",IF(J207&lt;&gt;"정상","비용 설정 필요",SUMIFS('3_채널별_비용설정'!$F$6:$F$55,'3_채널별_비용설정'!$C$6:$C$55,C207,'3_채널별_비용설정'!$D$6:$D$55,"&lt;="&amp;B207,'3_채널별_비용설정'!$O$6:$O$55,"&gt;="&amp;B207)))</f>
      </c>
      <c r="L207" s="12" t="str">
        <f>IF(J207="","",IF(J207&lt;&gt;"정상","비용 설정 필요",ROUND(G207*K207,0)))</f>
      </c>
      <c r="M207" s="12" t="str">
        <f>IF(J207="","",IF(J207&lt;&gt;"정상","비용 설정 필요",SUMIFS('3_채널별_비용설정'!$L$6:$L$55,'3_채널별_비용설정'!$C$6:$C$55,C207,'3_채널별_비용설정'!$D$6:$D$55,"&lt;="&amp;B207,'3_채널별_비용설정'!$O$6:$O$55,"&gt;="&amp;B207)))</f>
      </c>
      <c r="N207" s="12" t="str">
        <f>IF(J207="","",IF(J207&lt;&gt;"정상","비용 설정 필요",SUMIFS('3_채널별_비용설정'!$M$6:$M$55,'3_채널별_비용설정'!$C$6:$C$55,C207,'3_채널별_비용설정'!$D$6:$D$55,"&lt;="&amp;B207,'3_채널별_비용설정'!$O$6:$O$55,"&gt;="&amp;B207)))</f>
      </c>
      <c r="O207" s="12" t="str">
        <f>IF(J207="","",IF(J207&lt;&gt;"정상","비용 설정 필요",(D207*M207)+(E207*N207)))</f>
      </c>
      <c r="P207" s="12" t="str">
        <f>IF(J207="","",IF(J207&lt;&gt;"정상","비용 설정 필요",L207+O207+H207))</f>
      </c>
      <c r="Q207" s="13" t="str">
        <f>IF(J207="","",IF(J207&lt;&gt;"정상","비용 설정 필요",G207-P207))</f>
      </c>
      <c r="R207" s="14" t="str">
        <f>IF(J207="","",IF(J207&lt;&gt;"정상","비용 설정 필요",IFERROR(Q207/G207,0)))</f>
      </c>
    </row>
    <row r="208">
      <c r="B208" s="7"/>
      <c r="C208" s="5"/>
      <c r="D208" s="8"/>
      <c r="E208" s="8"/>
      <c r="F208" s="12" t="str">
        <f>IF(AND(B208="",C208=""),"",SUM(D208:E208))</f>
      </c>
      <c r="G208" s="8"/>
      <c r="H208" s="8"/>
      <c r="I208" s="6"/>
      <c r="J208" s="10" t="str">
        <f>IF(AND(B208="",C208=""),"",IF(OR(B208="",C208=""),"비용 설정 필요",IF(COUNTIFS('3_채널별_비용설정'!$C$6:$C$55,C208,'3_채널별_비용설정'!$D$6:$D$55,"&lt;="&amp;B208,'3_채널별_비용설정'!$O$6:$O$55,"&gt;="&amp;B208)=0,"비용 설정 필요",IF(COUNTIFS('3_채널별_비용설정'!$C$6:$C$55,C208,'3_채널별_비용설정'!$D$6:$D$55,"&lt;="&amp;B208,'3_채널별_비용설정'!$O$6:$O$55,"&gt;="&amp;B208)&gt;1,"기간 중복 확인","정상"))))</f>
      </c>
      <c r="K208" s="15" t="str">
        <f>IF(J208="","",IF(J208&lt;&gt;"정상","비용 설정 필요",SUMIFS('3_채널별_비용설정'!$F$6:$F$55,'3_채널별_비용설정'!$C$6:$C$55,C208,'3_채널별_비용설정'!$D$6:$D$55,"&lt;="&amp;B208,'3_채널별_비용설정'!$O$6:$O$55,"&gt;="&amp;B208)))</f>
      </c>
      <c r="L208" s="12" t="str">
        <f>IF(J208="","",IF(J208&lt;&gt;"정상","비용 설정 필요",ROUND(G208*K208,0)))</f>
      </c>
      <c r="M208" s="12" t="str">
        <f>IF(J208="","",IF(J208&lt;&gt;"정상","비용 설정 필요",SUMIFS('3_채널별_비용설정'!$L$6:$L$55,'3_채널별_비용설정'!$C$6:$C$55,C208,'3_채널별_비용설정'!$D$6:$D$55,"&lt;="&amp;B208,'3_채널별_비용설정'!$O$6:$O$55,"&gt;="&amp;B208)))</f>
      </c>
      <c r="N208" s="12" t="str">
        <f>IF(J208="","",IF(J208&lt;&gt;"정상","비용 설정 필요",SUMIFS('3_채널별_비용설정'!$M$6:$M$55,'3_채널별_비용설정'!$C$6:$C$55,C208,'3_채널별_비용설정'!$D$6:$D$55,"&lt;="&amp;B208,'3_채널별_비용설정'!$O$6:$O$55,"&gt;="&amp;B208)))</f>
      </c>
      <c r="O208" s="12" t="str">
        <f>IF(J208="","",IF(J208&lt;&gt;"정상","비용 설정 필요",(D208*M208)+(E208*N208)))</f>
      </c>
      <c r="P208" s="12" t="str">
        <f>IF(J208="","",IF(J208&lt;&gt;"정상","비용 설정 필요",L208+O208+H208))</f>
      </c>
      <c r="Q208" s="13" t="str">
        <f>IF(J208="","",IF(J208&lt;&gt;"정상","비용 설정 필요",G208-P208))</f>
      </c>
      <c r="R208" s="14" t="str">
        <f>IF(J208="","",IF(J208&lt;&gt;"정상","비용 설정 필요",IFERROR(Q208/G208,0)))</f>
      </c>
    </row>
    <row r="209">
      <c r="B209" s="7"/>
      <c r="C209" s="5"/>
      <c r="D209" s="8"/>
      <c r="E209" s="8"/>
      <c r="F209" s="12" t="str">
        <f>IF(AND(B209="",C209=""),"",SUM(D209:E209))</f>
      </c>
      <c r="G209" s="8"/>
      <c r="H209" s="8"/>
      <c r="I209" s="6"/>
      <c r="J209" s="10" t="str">
        <f>IF(AND(B209="",C209=""),"",IF(OR(B209="",C209=""),"비용 설정 필요",IF(COUNTIFS('3_채널별_비용설정'!$C$6:$C$55,C209,'3_채널별_비용설정'!$D$6:$D$55,"&lt;="&amp;B209,'3_채널별_비용설정'!$O$6:$O$55,"&gt;="&amp;B209)=0,"비용 설정 필요",IF(COUNTIFS('3_채널별_비용설정'!$C$6:$C$55,C209,'3_채널별_비용설정'!$D$6:$D$55,"&lt;="&amp;B209,'3_채널별_비용설정'!$O$6:$O$55,"&gt;="&amp;B209)&gt;1,"기간 중복 확인","정상"))))</f>
      </c>
      <c r="K209" s="15" t="str">
        <f>IF(J209="","",IF(J209&lt;&gt;"정상","비용 설정 필요",SUMIFS('3_채널별_비용설정'!$F$6:$F$55,'3_채널별_비용설정'!$C$6:$C$55,C209,'3_채널별_비용설정'!$D$6:$D$55,"&lt;="&amp;B209,'3_채널별_비용설정'!$O$6:$O$55,"&gt;="&amp;B209)))</f>
      </c>
      <c r="L209" s="12" t="str">
        <f>IF(J209="","",IF(J209&lt;&gt;"정상","비용 설정 필요",ROUND(G209*K209,0)))</f>
      </c>
      <c r="M209" s="12" t="str">
        <f>IF(J209="","",IF(J209&lt;&gt;"정상","비용 설정 필요",SUMIFS('3_채널별_비용설정'!$L$6:$L$55,'3_채널별_비용설정'!$C$6:$C$55,C209,'3_채널별_비용설정'!$D$6:$D$55,"&lt;="&amp;B209,'3_채널별_비용설정'!$O$6:$O$55,"&gt;="&amp;B209)))</f>
      </c>
      <c r="N209" s="12" t="str">
        <f>IF(J209="","",IF(J209&lt;&gt;"정상","비용 설정 필요",SUMIFS('3_채널별_비용설정'!$M$6:$M$55,'3_채널별_비용설정'!$C$6:$C$55,C209,'3_채널별_비용설정'!$D$6:$D$55,"&lt;="&amp;B209,'3_채널별_비용설정'!$O$6:$O$55,"&gt;="&amp;B209)))</f>
      </c>
      <c r="O209" s="12" t="str">
        <f>IF(J209="","",IF(J209&lt;&gt;"정상","비용 설정 필요",(D209*M209)+(E209*N209)))</f>
      </c>
      <c r="P209" s="12" t="str">
        <f>IF(J209="","",IF(J209&lt;&gt;"정상","비용 설정 필요",L209+O209+H209))</f>
      </c>
      <c r="Q209" s="13" t="str">
        <f>IF(J209="","",IF(J209&lt;&gt;"정상","비용 설정 필요",G209-P209))</f>
      </c>
      <c r="R209" s="14" t="str">
        <f>IF(J209="","",IF(J209&lt;&gt;"정상","비용 설정 필요",IFERROR(Q209/G209,0)))</f>
      </c>
    </row>
    <row r="210">
      <c r="B210" s="7"/>
      <c r="C210" s="5"/>
      <c r="D210" s="8"/>
      <c r="E210" s="8"/>
      <c r="F210" s="12" t="str">
        <f>IF(AND(B210="",C210=""),"",SUM(D210:E210))</f>
      </c>
      <c r="G210" s="8"/>
      <c r="H210" s="8"/>
      <c r="I210" s="6"/>
      <c r="J210" s="10" t="str">
        <f>IF(AND(B210="",C210=""),"",IF(OR(B210="",C210=""),"비용 설정 필요",IF(COUNTIFS('3_채널별_비용설정'!$C$6:$C$55,C210,'3_채널별_비용설정'!$D$6:$D$55,"&lt;="&amp;B210,'3_채널별_비용설정'!$O$6:$O$55,"&gt;="&amp;B210)=0,"비용 설정 필요",IF(COUNTIFS('3_채널별_비용설정'!$C$6:$C$55,C210,'3_채널별_비용설정'!$D$6:$D$55,"&lt;="&amp;B210,'3_채널별_비용설정'!$O$6:$O$55,"&gt;="&amp;B210)&gt;1,"기간 중복 확인","정상"))))</f>
      </c>
      <c r="K210" s="15" t="str">
        <f>IF(J210="","",IF(J210&lt;&gt;"정상","비용 설정 필요",SUMIFS('3_채널별_비용설정'!$F$6:$F$55,'3_채널별_비용설정'!$C$6:$C$55,C210,'3_채널별_비용설정'!$D$6:$D$55,"&lt;="&amp;B210,'3_채널별_비용설정'!$O$6:$O$55,"&gt;="&amp;B210)))</f>
      </c>
      <c r="L210" s="12" t="str">
        <f>IF(J210="","",IF(J210&lt;&gt;"정상","비용 설정 필요",ROUND(G210*K210,0)))</f>
      </c>
      <c r="M210" s="12" t="str">
        <f>IF(J210="","",IF(J210&lt;&gt;"정상","비용 설정 필요",SUMIFS('3_채널별_비용설정'!$L$6:$L$55,'3_채널별_비용설정'!$C$6:$C$55,C210,'3_채널별_비용설정'!$D$6:$D$55,"&lt;="&amp;B210,'3_채널별_비용설정'!$O$6:$O$55,"&gt;="&amp;B210)))</f>
      </c>
      <c r="N210" s="12" t="str">
        <f>IF(J210="","",IF(J210&lt;&gt;"정상","비용 설정 필요",SUMIFS('3_채널별_비용설정'!$M$6:$M$55,'3_채널별_비용설정'!$C$6:$C$55,C210,'3_채널별_비용설정'!$D$6:$D$55,"&lt;="&amp;B210,'3_채널별_비용설정'!$O$6:$O$55,"&gt;="&amp;B210)))</f>
      </c>
      <c r="O210" s="12" t="str">
        <f>IF(J210="","",IF(J210&lt;&gt;"정상","비용 설정 필요",(D210*M210)+(E210*N210)))</f>
      </c>
      <c r="P210" s="12" t="str">
        <f>IF(J210="","",IF(J210&lt;&gt;"정상","비용 설정 필요",L210+O210+H210))</f>
      </c>
      <c r="Q210" s="13" t="str">
        <f>IF(J210="","",IF(J210&lt;&gt;"정상","비용 설정 필요",G210-P210))</f>
      </c>
      <c r="R210" s="14" t="str">
        <f>IF(J210="","",IF(J210&lt;&gt;"정상","비용 설정 필요",IFERROR(Q210/G210,0)))</f>
      </c>
    </row>
    <row r="211">
      <c r="B211" s="7"/>
      <c r="C211" s="5"/>
      <c r="D211" s="8"/>
      <c r="E211" s="8"/>
      <c r="F211" s="12" t="str">
        <f>IF(AND(B211="",C211=""),"",SUM(D211:E211))</f>
      </c>
      <c r="G211" s="8"/>
      <c r="H211" s="8"/>
      <c r="I211" s="6"/>
      <c r="J211" s="10" t="str">
        <f>IF(AND(B211="",C211=""),"",IF(OR(B211="",C211=""),"비용 설정 필요",IF(COUNTIFS('3_채널별_비용설정'!$C$6:$C$55,C211,'3_채널별_비용설정'!$D$6:$D$55,"&lt;="&amp;B211,'3_채널별_비용설정'!$O$6:$O$55,"&gt;="&amp;B211)=0,"비용 설정 필요",IF(COUNTIFS('3_채널별_비용설정'!$C$6:$C$55,C211,'3_채널별_비용설정'!$D$6:$D$55,"&lt;="&amp;B211,'3_채널별_비용설정'!$O$6:$O$55,"&gt;="&amp;B211)&gt;1,"기간 중복 확인","정상"))))</f>
      </c>
      <c r="K211" s="15" t="str">
        <f>IF(J211="","",IF(J211&lt;&gt;"정상","비용 설정 필요",SUMIFS('3_채널별_비용설정'!$F$6:$F$55,'3_채널별_비용설정'!$C$6:$C$55,C211,'3_채널별_비용설정'!$D$6:$D$55,"&lt;="&amp;B211,'3_채널별_비용설정'!$O$6:$O$55,"&gt;="&amp;B211)))</f>
      </c>
      <c r="L211" s="12" t="str">
        <f>IF(J211="","",IF(J211&lt;&gt;"정상","비용 설정 필요",ROUND(G211*K211,0)))</f>
      </c>
      <c r="M211" s="12" t="str">
        <f>IF(J211="","",IF(J211&lt;&gt;"정상","비용 설정 필요",SUMIFS('3_채널별_비용설정'!$L$6:$L$55,'3_채널별_비용설정'!$C$6:$C$55,C211,'3_채널별_비용설정'!$D$6:$D$55,"&lt;="&amp;B211,'3_채널별_비용설정'!$O$6:$O$55,"&gt;="&amp;B211)))</f>
      </c>
      <c r="N211" s="12" t="str">
        <f>IF(J211="","",IF(J211&lt;&gt;"정상","비용 설정 필요",SUMIFS('3_채널별_비용설정'!$M$6:$M$55,'3_채널별_비용설정'!$C$6:$C$55,C211,'3_채널별_비용설정'!$D$6:$D$55,"&lt;="&amp;B211,'3_채널별_비용설정'!$O$6:$O$55,"&gt;="&amp;B211)))</f>
      </c>
      <c r="O211" s="12" t="str">
        <f>IF(J211="","",IF(J211&lt;&gt;"정상","비용 설정 필요",(D211*M211)+(E211*N211)))</f>
      </c>
      <c r="P211" s="12" t="str">
        <f>IF(J211="","",IF(J211&lt;&gt;"정상","비용 설정 필요",L211+O211+H211))</f>
      </c>
      <c r="Q211" s="13" t="str">
        <f>IF(J211="","",IF(J211&lt;&gt;"정상","비용 설정 필요",G211-P211))</f>
      </c>
      <c r="R211" s="14" t="str">
        <f>IF(J211="","",IF(J211&lt;&gt;"정상","비용 설정 필요",IFERROR(Q211/G211,0)))</f>
      </c>
    </row>
    <row r="212">
      <c r="B212" s="7"/>
      <c r="C212" s="5"/>
      <c r="D212" s="8"/>
      <c r="E212" s="8"/>
      <c r="F212" s="12" t="str">
        <f>IF(AND(B212="",C212=""),"",SUM(D212:E212))</f>
      </c>
      <c r="G212" s="8"/>
      <c r="H212" s="8"/>
      <c r="I212" s="6"/>
      <c r="J212" s="10" t="str">
        <f>IF(AND(B212="",C212=""),"",IF(OR(B212="",C212=""),"비용 설정 필요",IF(COUNTIFS('3_채널별_비용설정'!$C$6:$C$55,C212,'3_채널별_비용설정'!$D$6:$D$55,"&lt;="&amp;B212,'3_채널별_비용설정'!$O$6:$O$55,"&gt;="&amp;B212)=0,"비용 설정 필요",IF(COUNTIFS('3_채널별_비용설정'!$C$6:$C$55,C212,'3_채널별_비용설정'!$D$6:$D$55,"&lt;="&amp;B212,'3_채널별_비용설정'!$O$6:$O$55,"&gt;="&amp;B212)&gt;1,"기간 중복 확인","정상"))))</f>
      </c>
      <c r="K212" s="15" t="str">
        <f>IF(J212="","",IF(J212&lt;&gt;"정상","비용 설정 필요",SUMIFS('3_채널별_비용설정'!$F$6:$F$55,'3_채널별_비용설정'!$C$6:$C$55,C212,'3_채널별_비용설정'!$D$6:$D$55,"&lt;="&amp;B212,'3_채널별_비용설정'!$O$6:$O$55,"&gt;="&amp;B212)))</f>
      </c>
      <c r="L212" s="12" t="str">
        <f>IF(J212="","",IF(J212&lt;&gt;"정상","비용 설정 필요",ROUND(G212*K212,0)))</f>
      </c>
      <c r="M212" s="12" t="str">
        <f>IF(J212="","",IF(J212&lt;&gt;"정상","비용 설정 필요",SUMIFS('3_채널별_비용설정'!$L$6:$L$55,'3_채널별_비용설정'!$C$6:$C$55,C212,'3_채널별_비용설정'!$D$6:$D$55,"&lt;="&amp;B212,'3_채널별_비용설정'!$O$6:$O$55,"&gt;="&amp;B212)))</f>
      </c>
      <c r="N212" s="12" t="str">
        <f>IF(J212="","",IF(J212&lt;&gt;"정상","비용 설정 필요",SUMIFS('3_채널별_비용설정'!$M$6:$M$55,'3_채널별_비용설정'!$C$6:$C$55,C212,'3_채널별_비용설정'!$D$6:$D$55,"&lt;="&amp;B212,'3_채널별_비용설정'!$O$6:$O$55,"&gt;="&amp;B212)))</f>
      </c>
      <c r="O212" s="12" t="str">
        <f>IF(J212="","",IF(J212&lt;&gt;"정상","비용 설정 필요",(D212*M212)+(E212*N212)))</f>
      </c>
      <c r="P212" s="12" t="str">
        <f>IF(J212="","",IF(J212&lt;&gt;"정상","비용 설정 필요",L212+O212+H212))</f>
      </c>
      <c r="Q212" s="13" t="str">
        <f>IF(J212="","",IF(J212&lt;&gt;"정상","비용 설정 필요",G212-P212))</f>
      </c>
      <c r="R212" s="14" t="str">
        <f>IF(J212="","",IF(J212&lt;&gt;"정상","비용 설정 필요",IFERROR(Q212/G212,0)))</f>
      </c>
    </row>
    <row r="213">
      <c r="B213" s="7"/>
      <c r="C213" s="5"/>
      <c r="D213" s="8"/>
      <c r="E213" s="8"/>
      <c r="F213" s="12" t="str">
        <f>IF(AND(B213="",C213=""),"",SUM(D213:E213))</f>
      </c>
      <c r="G213" s="8"/>
      <c r="H213" s="8"/>
      <c r="I213" s="6"/>
      <c r="J213" s="10" t="str">
        <f>IF(AND(B213="",C213=""),"",IF(OR(B213="",C213=""),"비용 설정 필요",IF(COUNTIFS('3_채널별_비용설정'!$C$6:$C$55,C213,'3_채널별_비용설정'!$D$6:$D$55,"&lt;="&amp;B213,'3_채널별_비용설정'!$O$6:$O$55,"&gt;="&amp;B213)=0,"비용 설정 필요",IF(COUNTIFS('3_채널별_비용설정'!$C$6:$C$55,C213,'3_채널별_비용설정'!$D$6:$D$55,"&lt;="&amp;B213,'3_채널별_비용설정'!$O$6:$O$55,"&gt;="&amp;B213)&gt;1,"기간 중복 확인","정상"))))</f>
      </c>
      <c r="K213" s="15" t="str">
        <f>IF(J213="","",IF(J213&lt;&gt;"정상","비용 설정 필요",SUMIFS('3_채널별_비용설정'!$F$6:$F$55,'3_채널별_비용설정'!$C$6:$C$55,C213,'3_채널별_비용설정'!$D$6:$D$55,"&lt;="&amp;B213,'3_채널별_비용설정'!$O$6:$O$55,"&gt;="&amp;B213)))</f>
      </c>
      <c r="L213" s="12" t="str">
        <f>IF(J213="","",IF(J213&lt;&gt;"정상","비용 설정 필요",ROUND(G213*K213,0)))</f>
      </c>
      <c r="M213" s="12" t="str">
        <f>IF(J213="","",IF(J213&lt;&gt;"정상","비용 설정 필요",SUMIFS('3_채널별_비용설정'!$L$6:$L$55,'3_채널별_비용설정'!$C$6:$C$55,C213,'3_채널별_비용설정'!$D$6:$D$55,"&lt;="&amp;B213,'3_채널별_비용설정'!$O$6:$O$55,"&gt;="&amp;B213)))</f>
      </c>
      <c r="N213" s="12" t="str">
        <f>IF(J213="","",IF(J213&lt;&gt;"정상","비용 설정 필요",SUMIFS('3_채널별_비용설정'!$M$6:$M$55,'3_채널별_비용설정'!$C$6:$C$55,C213,'3_채널별_비용설정'!$D$6:$D$55,"&lt;="&amp;B213,'3_채널별_비용설정'!$O$6:$O$55,"&gt;="&amp;B213)))</f>
      </c>
      <c r="O213" s="12" t="str">
        <f>IF(J213="","",IF(J213&lt;&gt;"정상","비용 설정 필요",(D213*M213)+(E213*N213)))</f>
      </c>
      <c r="P213" s="12" t="str">
        <f>IF(J213="","",IF(J213&lt;&gt;"정상","비용 설정 필요",L213+O213+H213))</f>
      </c>
      <c r="Q213" s="13" t="str">
        <f>IF(J213="","",IF(J213&lt;&gt;"정상","비용 설정 필요",G213-P213))</f>
      </c>
      <c r="R213" s="14" t="str">
        <f>IF(J213="","",IF(J213&lt;&gt;"정상","비용 설정 필요",IFERROR(Q213/G213,0)))</f>
      </c>
    </row>
    <row r="214">
      <c r="B214" s="7"/>
      <c r="C214" s="5"/>
      <c r="D214" s="8"/>
      <c r="E214" s="8"/>
      <c r="F214" s="12" t="str">
        <f>IF(AND(B214="",C214=""),"",SUM(D214:E214))</f>
      </c>
      <c r="G214" s="8"/>
      <c r="H214" s="8"/>
      <c r="I214" s="6"/>
      <c r="J214" s="10" t="str">
        <f>IF(AND(B214="",C214=""),"",IF(OR(B214="",C214=""),"비용 설정 필요",IF(COUNTIFS('3_채널별_비용설정'!$C$6:$C$55,C214,'3_채널별_비용설정'!$D$6:$D$55,"&lt;="&amp;B214,'3_채널별_비용설정'!$O$6:$O$55,"&gt;="&amp;B214)=0,"비용 설정 필요",IF(COUNTIFS('3_채널별_비용설정'!$C$6:$C$55,C214,'3_채널별_비용설정'!$D$6:$D$55,"&lt;="&amp;B214,'3_채널별_비용설정'!$O$6:$O$55,"&gt;="&amp;B214)&gt;1,"기간 중복 확인","정상"))))</f>
      </c>
      <c r="K214" s="15" t="str">
        <f>IF(J214="","",IF(J214&lt;&gt;"정상","비용 설정 필요",SUMIFS('3_채널별_비용설정'!$F$6:$F$55,'3_채널별_비용설정'!$C$6:$C$55,C214,'3_채널별_비용설정'!$D$6:$D$55,"&lt;="&amp;B214,'3_채널별_비용설정'!$O$6:$O$55,"&gt;="&amp;B214)))</f>
      </c>
      <c r="L214" s="12" t="str">
        <f>IF(J214="","",IF(J214&lt;&gt;"정상","비용 설정 필요",ROUND(G214*K214,0)))</f>
      </c>
      <c r="M214" s="12" t="str">
        <f>IF(J214="","",IF(J214&lt;&gt;"정상","비용 설정 필요",SUMIFS('3_채널별_비용설정'!$L$6:$L$55,'3_채널별_비용설정'!$C$6:$C$55,C214,'3_채널별_비용설정'!$D$6:$D$55,"&lt;="&amp;B214,'3_채널별_비용설정'!$O$6:$O$55,"&gt;="&amp;B214)))</f>
      </c>
      <c r="N214" s="12" t="str">
        <f>IF(J214="","",IF(J214&lt;&gt;"정상","비용 설정 필요",SUMIFS('3_채널별_비용설정'!$M$6:$M$55,'3_채널별_비용설정'!$C$6:$C$55,C214,'3_채널별_비용설정'!$D$6:$D$55,"&lt;="&amp;B214,'3_채널별_비용설정'!$O$6:$O$55,"&gt;="&amp;B214)))</f>
      </c>
      <c r="O214" s="12" t="str">
        <f>IF(J214="","",IF(J214&lt;&gt;"정상","비용 설정 필요",(D214*M214)+(E214*N214)))</f>
      </c>
      <c r="P214" s="12" t="str">
        <f>IF(J214="","",IF(J214&lt;&gt;"정상","비용 설정 필요",L214+O214+H214))</f>
      </c>
      <c r="Q214" s="13" t="str">
        <f>IF(J214="","",IF(J214&lt;&gt;"정상","비용 설정 필요",G214-P214))</f>
      </c>
      <c r="R214" s="14" t="str">
        <f>IF(J214="","",IF(J214&lt;&gt;"정상","비용 설정 필요",IFERROR(Q214/G214,0)))</f>
      </c>
    </row>
    <row r="215">
      <c r="B215" s="7"/>
      <c r="C215" s="5"/>
      <c r="D215" s="8"/>
      <c r="E215" s="8"/>
      <c r="F215" s="12" t="str">
        <f>IF(AND(B215="",C215=""),"",SUM(D215:E215))</f>
      </c>
      <c r="G215" s="8"/>
      <c r="H215" s="8"/>
      <c r="I215" s="6"/>
      <c r="J215" s="10" t="str">
        <f>IF(AND(B215="",C215=""),"",IF(OR(B215="",C215=""),"비용 설정 필요",IF(COUNTIFS('3_채널별_비용설정'!$C$6:$C$55,C215,'3_채널별_비용설정'!$D$6:$D$55,"&lt;="&amp;B215,'3_채널별_비용설정'!$O$6:$O$55,"&gt;="&amp;B215)=0,"비용 설정 필요",IF(COUNTIFS('3_채널별_비용설정'!$C$6:$C$55,C215,'3_채널별_비용설정'!$D$6:$D$55,"&lt;="&amp;B215,'3_채널별_비용설정'!$O$6:$O$55,"&gt;="&amp;B215)&gt;1,"기간 중복 확인","정상"))))</f>
      </c>
      <c r="K215" s="15" t="str">
        <f>IF(J215="","",IF(J215&lt;&gt;"정상","비용 설정 필요",SUMIFS('3_채널별_비용설정'!$F$6:$F$55,'3_채널별_비용설정'!$C$6:$C$55,C215,'3_채널별_비용설정'!$D$6:$D$55,"&lt;="&amp;B215,'3_채널별_비용설정'!$O$6:$O$55,"&gt;="&amp;B215)))</f>
      </c>
      <c r="L215" s="12" t="str">
        <f>IF(J215="","",IF(J215&lt;&gt;"정상","비용 설정 필요",ROUND(G215*K215,0)))</f>
      </c>
      <c r="M215" s="12" t="str">
        <f>IF(J215="","",IF(J215&lt;&gt;"정상","비용 설정 필요",SUMIFS('3_채널별_비용설정'!$L$6:$L$55,'3_채널별_비용설정'!$C$6:$C$55,C215,'3_채널별_비용설정'!$D$6:$D$55,"&lt;="&amp;B215,'3_채널별_비용설정'!$O$6:$O$55,"&gt;="&amp;B215)))</f>
      </c>
      <c r="N215" s="12" t="str">
        <f>IF(J215="","",IF(J215&lt;&gt;"정상","비용 설정 필요",SUMIFS('3_채널별_비용설정'!$M$6:$M$55,'3_채널별_비용설정'!$C$6:$C$55,C215,'3_채널별_비용설정'!$D$6:$D$55,"&lt;="&amp;B215,'3_채널별_비용설정'!$O$6:$O$55,"&gt;="&amp;B215)))</f>
      </c>
      <c r="O215" s="12" t="str">
        <f>IF(J215="","",IF(J215&lt;&gt;"정상","비용 설정 필요",(D215*M215)+(E215*N215)))</f>
      </c>
      <c r="P215" s="12" t="str">
        <f>IF(J215="","",IF(J215&lt;&gt;"정상","비용 설정 필요",L215+O215+H215))</f>
      </c>
      <c r="Q215" s="13" t="str">
        <f>IF(J215="","",IF(J215&lt;&gt;"정상","비용 설정 필요",G215-P215))</f>
      </c>
      <c r="R215" s="14" t="str">
        <f>IF(J215="","",IF(J215&lt;&gt;"정상","비용 설정 필요",IFERROR(Q215/G215,0)))</f>
      </c>
    </row>
    <row r="216">
      <c r="B216" s="7"/>
      <c r="C216" s="5"/>
      <c r="D216" s="8"/>
      <c r="E216" s="8"/>
      <c r="F216" s="12" t="str">
        <f>IF(AND(B216="",C216=""),"",SUM(D216:E216))</f>
      </c>
      <c r="G216" s="8"/>
      <c r="H216" s="8"/>
      <c r="I216" s="6"/>
      <c r="J216" s="10" t="str">
        <f>IF(AND(B216="",C216=""),"",IF(OR(B216="",C216=""),"비용 설정 필요",IF(COUNTIFS('3_채널별_비용설정'!$C$6:$C$55,C216,'3_채널별_비용설정'!$D$6:$D$55,"&lt;="&amp;B216,'3_채널별_비용설정'!$O$6:$O$55,"&gt;="&amp;B216)=0,"비용 설정 필요",IF(COUNTIFS('3_채널별_비용설정'!$C$6:$C$55,C216,'3_채널별_비용설정'!$D$6:$D$55,"&lt;="&amp;B216,'3_채널별_비용설정'!$O$6:$O$55,"&gt;="&amp;B216)&gt;1,"기간 중복 확인","정상"))))</f>
      </c>
      <c r="K216" s="15" t="str">
        <f>IF(J216="","",IF(J216&lt;&gt;"정상","비용 설정 필요",SUMIFS('3_채널별_비용설정'!$F$6:$F$55,'3_채널별_비용설정'!$C$6:$C$55,C216,'3_채널별_비용설정'!$D$6:$D$55,"&lt;="&amp;B216,'3_채널별_비용설정'!$O$6:$O$55,"&gt;="&amp;B216)))</f>
      </c>
      <c r="L216" s="12" t="str">
        <f>IF(J216="","",IF(J216&lt;&gt;"정상","비용 설정 필요",ROUND(G216*K216,0)))</f>
      </c>
      <c r="M216" s="12" t="str">
        <f>IF(J216="","",IF(J216&lt;&gt;"정상","비용 설정 필요",SUMIFS('3_채널별_비용설정'!$L$6:$L$55,'3_채널별_비용설정'!$C$6:$C$55,C216,'3_채널별_비용설정'!$D$6:$D$55,"&lt;="&amp;B216,'3_채널별_비용설정'!$O$6:$O$55,"&gt;="&amp;B216)))</f>
      </c>
      <c r="N216" s="12" t="str">
        <f>IF(J216="","",IF(J216&lt;&gt;"정상","비용 설정 필요",SUMIFS('3_채널별_비용설정'!$M$6:$M$55,'3_채널별_비용설정'!$C$6:$C$55,C216,'3_채널별_비용설정'!$D$6:$D$55,"&lt;="&amp;B216,'3_채널별_비용설정'!$O$6:$O$55,"&gt;="&amp;B216)))</f>
      </c>
      <c r="O216" s="12" t="str">
        <f>IF(J216="","",IF(J216&lt;&gt;"정상","비용 설정 필요",(D216*M216)+(E216*N216)))</f>
      </c>
      <c r="P216" s="12" t="str">
        <f>IF(J216="","",IF(J216&lt;&gt;"정상","비용 설정 필요",L216+O216+H216))</f>
      </c>
      <c r="Q216" s="13" t="str">
        <f>IF(J216="","",IF(J216&lt;&gt;"정상","비용 설정 필요",G216-P216))</f>
      </c>
      <c r="R216" s="14" t="str">
        <f>IF(J216="","",IF(J216&lt;&gt;"정상","비용 설정 필요",IFERROR(Q216/G216,0)))</f>
      </c>
    </row>
    <row r="217">
      <c r="B217" s="7"/>
      <c r="C217" s="5"/>
      <c r="D217" s="8"/>
      <c r="E217" s="8"/>
      <c r="F217" s="12" t="str">
        <f>IF(AND(B217="",C217=""),"",SUM(D217:E217))</f>
      </c>
      <c r="G217" s="8"/>
      <c r="H217" s="8"/>
      <c r="I217" s="6"/>
      <c r="J217" s="10" t="str">
        <f>IF(AND(B217="",C217=""),"",IF(OR(B217="",C217=""),"비용 설정 필요",IF(COUNTIFS('3_채널별_비용설정'!$C$6:$C$55,C217,'3_채널별_비용설정'!$D$6:$D$55,"&lt;="&amp;B217,'3_채널별_비용설정'!$O$6:$O$55,"&gt;="&amp;B217)=0,"비용 설정 필요",IF(COUNTIFS('3_채널별_비용설정'!$C$6:$C$55,C217,'3_채널별_비용설정'!$D$6:$D$55,"&lt;="&amp;B217,'3_채널별_비용설정'!$O$6:$O$55,"&gt;="&amp;B217)&gt;1,"기간 중복 확인","정상"))))</f>
      </c>
      <c r="K217" s="15" t="str">
        <f>IF(J217="","",IF(J217&lt;&gt;"정상","비용 설정 필요",SUMIFS('3_채널별_비용설정'!$F$6:$F$55,'3_채널별_비용설정'!$C$6:$C$55,C217,'3_채널별_비용설정'!$D$6:$D$55,"&lt;="&amp;B217,'3_채널별_비용설정'!$O$6:$O$55,"&gt;="&amp;B217)))</f>
      </c>
      <c r="L217" s="12" t="str">
        <f>IF(J217="","",IF(J217&lt;&gt;"정상","비용 설정 필요",ROUND(G217*K217,0)))</f>
      </c>
      <c r="M217" s="12" t="str">
        <f>IF(J217="","",IF(J217&lt;&gt;"정상","비용 설정 필요",SUMIFS('3_채널별_비용설정'!$L$6:$L$55,'3_채널별_비용설정'!$C$6:$C$55,C217,'3_채널별_비용설정'!$D$6:$D$55,"&lt;="&amp;B217,'3_채널별_비용설정'!$O$6:$O$55,"&gt;="&amp;B217)))</f>
      </c>
      <c r="N217" s="12" t="str">
        <f>IF(J217="","",IF(J217&lt;&gt;"정상","비용 설정 필요",SUMIFS('3_채널별_비용설정'!$M$6:$M$55,'3_채널별_비용설정'!$C$6:$C$55,C217,'3_채널별_비용설정'!$D$6:$D$55,"&lt;="&amp;B217,'3_채널별_비용설정'!$O$6:$O$55,"&gt;="&amp;B217)))</f>
      </c>
      <c r="O217" s="12" t="str">
        <f>IF(J217="","",IF(J217&lt;&gt;"정상","비용 설정 필요",(D217*M217)+(E217*N217)))</f>
      </c>
      <c r="P217" s="12" t="str">
        <f>IF(J217="","",IF(J217&lt;&gt;"정상","비용 설정 필요",L217+O217+H217))</f>
      </c>
      <c r="Q217" s="13" t="str">
        <f>IF(J217="","",IF(J217&lt;&gt;"정상","비용 설정 필요",G217-P217))</f>
      </c>
      <c r="R217" s="14" t="str">
        <f>IF(J217="","",IF(J217&lt;&gt;"정상","비용 설정 필요",IFERROR(Q217/G217,0)))</f>
      </c>
    </row>
    <row r="218">
      <c r="B218" s="7"/>
      <c r="C218" s="5"/>
      <c r="D218" s="8"/>
      <c r="E218" s="8"/>
      <c r="F218" s="12" t="str">
        <f>IF(AND(B218="",C218=""),"",SUM(D218:E218))</f>
      </c>
      <c r="G218" s="8"/>
      <c r="H218" s="8"/>
      <c r="I218" s="6"/>
      <c r="J218" s="10" t="str">
        <f>IF(AND(B218="",C218=""),"",IF(OR(B218="",C218=""),"비용 설정 필요",IF(COUNTIFS('3_채널별_비용설정'!$C$6:$C$55,C218,'3_채널별_비용설정'!$D$6:$D$55,"&lt;="&amp;B218,'3_채널별_비용설정'!$O$6:$O$55,"&gt;="&amp;B218)=0,"비용 설정 필요",IF(COUNTIFS('3_채널별_비용설정'!$C$6:$C$55,C218,'3_채널별_비용설정'!$D$6:$D$55,"&lt;="&amp;B218,'3_채널별_비용설정'!$O$6:$O$55,"&gt;="&amp;B218)&gt;1,"기간 중복 확인","정상"))))</f>
      </c>
      <c r="K218" s="15" t="str">
        <f>IF(J218="","",IF(J218&lt;&gt;"정상","비용 설정 필요",SUMIFS('3_채널별_비용설정'!$F$6:$F$55,'3_채널별_비용설정'!$C$6:$C$55,C218,'3_채널별_비용설정'!$D$6:$D$55,"&lt;="&amp;B218,'3_채널별_비용설정'!$O$6:$O$55,"&gt;="&amp;B218)))</f>
      </c>
      <c r="L218" s="12" t="str">
        <f>IF(J218="","",IF(J218&lt;&gt;"정상","비용 설정 필요",ROUND(G218*K218,0)))</f>
      </c>
      <c r="M218" s="12" t="str">
        <f>IF(J218="","",IF(J218&lt;&gt;"정상","비용 설정 필요",SUMIFS('3_채널별_비용설정'!$L$6:$L$55,'3_채널별_비용설정'!$C$6:$C$55,C218,'3_채널별_비용설정'!$D$6:$D$55,"&lt;="&amp;B218,'3_채널별_비용설정'!$O$6:$O$55,"&gt;="&amp;B218)))</f>
      </c>
      <c r="N218" s="12" t="str">
        <f>IF(J218="","",IF(J218&lt;&gt;"정상","비용 설정 필요",SUMIFS('3_채널별_비용설정'!$M$6:$M$55,'3_채널별_비용설정'!$C$6:$C$55,C218,'3_채널별_비용설정'!$D$6:$D$55,"&lt;="&amp;B218,'3_채널별_비용설정'!$O$6:$O$55,"&gt;="&amp;B218)))</f>
      </c>
      <c r="O218" s="12" t="str">
        <f>IF(J218="","",IF(J218&lt;&gt;"정상","비용 설정 필요",(D218*M218)+(E218*N218)))</f>
      </c>
      <c r="P218" s="12" t="str">
        <f>IF(J218="","",IF(J218&lt;&gt;"정상","비용 설정 필요",L218+O218+H218))</f>
      </c>
      <c r="Q218" s="13" t="str">
        <f>IF(J218="","",IF(J218&lt;&gt;"정상","비용 설정 필요",G218-P218))</f>
      </c>
      <c r="R218" s="14" t="str">
        <f>IF(J218="","",IF(J218&lt;&gt;"정상","비용 설정 필요",IFERROR(Q218/G218,0)))</f>
      </c>
    </row>
    <row r="219">
      <c r="B219" s="7"/>
      <c r="C219" s="5"/>
      <c r="D219" s="8"/>
      <c r="E219" s="8"/>
      <c r="F219" s="12" t="str">
        <f>IF(AND(B219="",C219=""),"",SUM(D219:E219))</f>
      </c>
      <c r="G219" s="8"/>
      <c r="H219" s="8"/>
      <c r="I219" s="6"/>
      <c r="J219" s="10" t="str">
        <f>IF(AND(B219="",C219=""),"",IF(OR(B219="",C219=""),"비용 설정 필요",IF(COUNTIFS('3_채널별_비용설정'!$C$6:$C$55,C219,'3_채널별_비용설정'!$D$6:$D$55,"&lt;="&amp;B219,'3_채널별_비용설정'!$O$6:$O$55,"&gt;="&amp;B219)=0,"비용 설정 필요",IF(COUNTIFS('3_채널별_비용설정'!$C$6:$C$55,C219,'3_채널별_비용설정'!$D$6:$D$55,"&lt;="&amp;B219,'3_채널별_비용설정'!$O$6:$O$55,"&gt;="&amp;B219)&gt;1,"기간 중복 확인","정상"))))</f>
      </c>
      <c r="K219" s="15" t="str">
        <f>IF(J219="","",IF(J219&lt;&gt;"정상","비용 설정 필요",SUMIFS('3_채널별_비용설정'!$F$6:$F$55,'3_채널별_비용설정'!$C$6:$C$55,C219,'3_채널별_비용설정'!$D$6:$D$55,"&lt;="&amp;B219,'3_채널별_비용설정'!$O$6:$O$55,"&gt;="&amp;B219)))</f>
      </c>
      <c r="L219" s="12" t="str">
        <f>IF(J219="","",IF(J219&lt;&gt;"정상","비용 설정 필요",ROUND(G219*K219,0)))</f>
      </c>
      <c r="M219" s="12" t="str">
        <f>IF(J219="","",IF(J219&lt;&gt;"정상","비용 설정 필요",SUMIFS('3_채널별_비용설정'!$L$6:$L$55,'3_채널별_비용설정'!$C$6:$C$55,C219,'3_채널별_비용설정'!$D$6:$D$55,"&lt;="&amp;B219,'3_채널별_비용설정'!$O$6:$O$55,"&gt;="&amp;B219)))</f>
      </c>
      <c r="N219" s="12" t="str">
        <f>IF(J219="","",IF(J219&lt;&gt;"정상","비용 설정 필요",SUMIFS('3_채널별_비용설정'!$M$6:$M$55,'3_채널별_비용설정'!$C$6:$C$55,C219,'3_채널별_비용설정'!$D$6:$D$55,"&lt;="&amp;B219,'3_채널별_비용설정'!$O$6:$O$55,"&gt;="&amp;B219)))</f>
      </c>
      <c r="O219" s="12" t="str">
        <f>IF(J219="","",IF(J219&lt;&gt;"정상","비용 설정 필요",(D219*M219)+(E219*N219)))</f>
      </c>
      <c r="P219" s="12" t="str">
        <f>IF(J219="","",IF(J219&lt;&gt;"정상","비용 설정 필요",L219+O219+H219))</f>
      </c>
      <c r="Q219" s="13" t="str">
        <f>IF(J219="","",IF(J219&lt;&gt;"정상","비용 설정 필요",G219-P219))</f>
      </c>
      <c r="R219" s="14" t="str">
        <f>IF(J219="","",IF(J219&lt;&gt;"정상","비용 설정 필요",IFERROR(Q219/G219,0)))</f>
      </c>
    </row>
    <row r="220">
      <c r="B220" s="7"/>
      <c r="C220" s="5"/>
      <c r="D220" s="8"/>
      <c r="E220" s="8"/>
      <c r="F220" s="12" t="str">
        <f>IF(AND(B220="",C220=""),"",SUM(D220:E220))</f>
      </c>
      <c r="G220" s="8"/>
      <c r="H220" s="8"/>
      <c r="I220" s="6"/>
      <c r="J220" s="10" t="str">
        <f>IF(AND(B220="",C220=""),"",IF(OR(B220="",C220=""),"비용 설정 필요",IF(COUNTIFS('3_채널별_비용설정'!$C$6:$C$55,C220,'3_채널별_비용설정'!$D$6:$D$55,"&lt;="&amp;B220,'3_채널별_비용설정'!$O$6:$O$55,"&gt;="&amp;B220)=0,"비용 설정 필요",IF(COUNTIFS('3_채널별_비용설정'!$C$6:$C$55,C220,'3_채널별_비용설정'!$D$6:$D$55,"&lt;="&amp;B220,'3_채널별_비용설정'!$O$6:$O$55,"&gt;="&amp;B220)&gt;1,"기간 중복 확인","정상"))))</f>
      </c>
      <c r="K220" s="15" t="str">
        <f>IF(J220="","",IF(J220&lt;&gt;"정상","비용 설정 필요",SUMIFS('3_채널별_비용설정'!$F$6:$F$55,'3_채널별_비용설정'!$C$6:$C$55,C220,'3_채널별_비용설정'!$D$6:$D$55,"&lt;="&amp;B220,'3_채널별_비용설정'!$O$6:$O$55,"&gt;="&amp;B220)))</f>
      </c>
      <c r="L220" s="12" t="str">
        <f>IF(J220="","",IF(J220&lt;&gt;"정상","비용 설정 필요",ROUND(G220*K220,0)))</f>
      </c>
      <c r="M220" s="12" t="str">
        <f>IF(J220="","",IF(J220&lt;&gt;"정상","비용 설정 필요",SUMIFS('3_채널별_비용설정'!$L$6:$L$55,'3_채널별_비용설정'!$C$6:$C$55,C220,'3_채널별_비용설정'!$D$6:$D$55,"&lt;="&amp;B220,'3_채널별_비용설정'!$O$6:$O$55,"&gt;="&amp;B220)))</f>
      </c>
      <c r="N220" s="12" t="str">
        <f>IF(J220="","",IF(J220&lt;&gt;"정상","비용 설정 필요",SUMIFS('3_채널별_비용설정'!$M$6:$M$55,'3_채널별_비용설정'!$C$6:$C$55,C220,'3_채널별_비용설정'!$D$6:$D$55,"&lt;="&amp;B220,'3_채널별_비용설정'!$O$6:$O$55,"&gt;="&amp;B220)))</f>
      </c>
      <c r="O220" s="12" t="str">
        <f>IF(J220="","",IF(J220&lt;&gt;"정상","비용 설정 필요",(D220*M220)+(E220*N220)))</f>
      </c>
      <c r="P220" s="12" t="str">
        <f>IF(J220="","",IF(J220&lt;&gt;"정상","비용 설정 필요",L220+O220+H220))</f>
      </c>
      <c r="Q220" s="13" t="str">
        <f>IF(J220="","",IF(J220&lt;&gt;"정상","비용 설정 필요",G220-P220))</f>
      </c>
      <c r="R220" s="14" t="str">
        <f>IF(J220="","",IF(J220&lt;&gt;"정상","비용 설정 필요",IFERROR(Q220/G220,0)))</f>
      </c>
    </row>
    <row r="221">
      <c r="B221" s="7"/>
      <c r="C221" s="5"/>
      <c r="D221" s="8"/>
      <c r="E221" s="8"/>
      <c r="F221" s="12" t="str">
        <f>IF(AND(B221="",C221=""),"",SUM(D221:E221))</f>
      </c>
      <c r="G221" s="8"/>
      <c r="H221" s="8"/>
      <c r="I221" s="6"/>
      <c r="J221" s="10" t="str">
        <f>IF(AND(B221="",C221=""),"",IF(OR(B221="",C221=""),"비용 설정 필요",IF(COUNTIFS('3_채널별_비용설정'!$C$6:$C$55,C221,'3_채널별_비용설정'!$D$6:$D$55,"&lt;="&amp;B221,'3_채널별_비용설정'!$O$6:$O$55,"&gt;="&amp;B221)=0,"비용 설정 필요",IF(COUNTIFS('3_채널별_비용설정'!$C$6:$C$55,C221,'3_채널별_비용설정'!$D$6:$D$55,"&lt;="&amp;B221,'3_채널별_비용설정'!$O$6:$O$55,"&gt;="&amp;B221)&gt;1,"기간 중복 확인","정상"))))</f>
      </c>
      <c r="K221" s="15" t="str">
        <f>IF(J221="","",IF(J221&lt;&gt;"정상","비용 설정 필요",SUMIFS('3_채널별_비용설정'!$F$6:$F$55,'3_채널별_비용설정'!$C$6:$C$55,C221,'3_채널별_비용설정'!$D$6:$D$55,"&lt;="&amp;B221,'3_채널별_비용설정'!$O$6:$O$55,"&gt;="&amp;B221)))</f>
      </c>
      <c r="L221" s="12" t="str">
        <f>IF(J221="","",IF(J221&lt;&gt;"정상","비용 설정 필요",ROUND(G221*K221,0)))</f>
      </c>
      <c r="M221" s="12" t="str">
        <f>IF(J221="","",IF(J221&lt;&gt;"정상","비용 설정 필요",SUMIFS('3_채널별_비용설정'!$L$6:$L$55,'3_채널별_비용설정'!$C$6:$C$55,C221,'3_채널별_비용설정'!$D$6:$D$55,"&lt;="&amp;B221,'3_채널별_비용설정'!$O$6:$O$55,"&gt;="&amp;B221)))</f>
      </c>
      <c r="N221" s="12" t="str">
        <f>IF(J221="","",IF(J221&lt;&gt;"정상","비용 설정 필요",SUMIFS('3_채널별_비용설정'!$M$6:$M$55,'3_채널별_비용설정'!$C$6:$C$55,C221,'3_채널별_비용설정'!$D$6:$D$55,"&lt;="&amp;B221,'3_채널별_비용설정'!$O$6:$O$55,"&gt;="&amp;B221)))</f>
      </c>
      <c r="O221" s="12" t="str">
        <f>IF(J221="","",IF(J221&lt;&gt;"정상","비용 설정 필요",(D221*M221)+(E221*N221)))</f>
      </c>
      <c r="P221" s="12" t="str">
        <f>IF(J221="","",IF(J221&lt;&gt;"정상","비용 설정 필요",L221+O221+H221))</f>
      </c>
      <c r="Q221" s="13" t="str">
        <f>IF(J221="","",IF(J221&lt;&gt;"정상","비용 설정 필요",G221-P221))</f>
      </c>
      <c r="R221" s="14" t="str">
        <f>IF(J221="","",IF(J221&lt;&gt;"정상","비용 설정 필요",IFERROR(Q221/G221,0)))</f>
      </c>
    </row>
    <row r="222">
      <c r="B222" s="7"/>
      <c r="C222" s="5"/>
      <c r="D222" s="8"/>
      <c r="E222" s="8"/>
      <c r="F222" s="12" t="str">
        <f>IF(AND(B222="",C222=""),"",SUM(D222:E222))</f>
      </c>
      <c r="G222" s="8"/>
      <c r="H222" s="8"/>
      <c r="I222" s="6"/>
      <c r="J222" s="10" t="str">
        <f>IF(AND(B222="",C222=""),"",IF(OR(B222="",C222=""),"비용 설정 필요",IF(COUNTIFS('3_채널별_비용설정'!$C$6:$C$55,C222,'3_채널별_비용설정'!$D$6:$D$55,"&lt;="&amp;B222,'3_채널별_비용설정'!$O$6:$O$55,"&gt;="&amp;B222)=0,"비용 설정 필요",IF(COUNTIFS('3_채널별_비용설정'!$C$6:$C$55,C222,'3_채널별_비용설정'!$D$6:$D$55,"&lt;="&amp;B222,'3_채널별_비용설정'!$O$6:$O$55,"&gt;="&amp;B222)&gt;1,"기간 중복 확인","정상"))))</f>
      </c>
      <c r="K222" s="15" t="str">
        <f>IF(J222="","",IF(J222&lt;&gt;"정상","비용 설정 필요",SUMIFS('3_채널별_비용설정'!$F$6:$F$55,'3_채널별_비용설정'!$C$6:$C$55,C222,'3_채널별_비용설정'!$D$6:$D$55,"&lt;="&amp;B222,'3_채널별_비용설정'!$O$6:$O$55,"&gt;="&amp;B222)))</f>
      </c>
      <c r="L222" s="12" t="str">
        <f>IF(J222="","",IF(J222&lt;&gt;"정상","비용 설정 필요",ROUND(G222*K222,0)))</f>
      </c>
      <c r="M222" s="12" t="str">
        <f>IF(J222="","",IF(J222&lt;&gt;"정상","비용 설정 필요",SUMIFS('3_채널별_비용설정'!$L$6:$L$55,'3_채널별_비용설정'!$C$6:$C$55,C222,'3_채널별_비용설정'!$D$6:$D$55,"&lt;="&amp;B222,'3_채널별_비용설정'!$O$6:$O$55,"&gt;="&amp;B222)))</f>
      </c>
      <c r="N222" s="12" t="str">
        <f>IF(J222="","",IF(J222&lt;&gt;"정상","비용 설정 필요",SUMIFS('3_채널별_비용설정'!$M$6:$M$55,'3_채널별_비용설정'!$C$6:$C$55,C222,'3_채널별_비용설정'!$D$6:$D$55,"&lt;="&amp;B222,'3_채널별_비용설정'!$O$6:$O$55,"&gt;="&amp;B222)))</f>
      </c>
      <c r="O222" s="12" t="str">
        <f>IF(J222="","",IF(J222&lt;&gt;"정상","비용 설정 필요",(D222*M222)+(E222*N222)))</f>
      </c>
      <c r="P222" s="12" t="str">
        <f>IF(J222="","",IF(J222&lt;&gt;"정상","비용 설정 필요",L222+O222+H222))</f>
      </c>
      <c r="Q222" s="13" t="str">
        <f>IF(J222="","",IF(J222&lt;&gt;"정상","비용 설정 필요",G222-P222))</f>
      </c>
      <c r="R222" s="14" t="str">
        <f>IF(J222="","",IF(J222&lt;&gt;"정상","비용 설정 필요",IFERROR(Q222/G222,0)))</f>
      </c>
    </row>
    <row r="223">
      <c r="B223" s="7"/>
      <c r="C223" s="5"/>
      <c r="D223" s="8"/>
      <c r="E223" s="8"/>
      <c r="F223" s="12" t="str">
        <f>IF(AND(B223="",C223=""),"",SUM(D223:E223))</f>
      </c>
      <c r="G223" s="8"/>
      <c r="H223" s="8"/>
      <c r="I223" s="6"/>
      <c r="J223" s="10" t="str">
        <f>IF(AND(B223="",C223=""),"",IF(OR(B223="",C223=""),"비용 설정 필요",IF(COUNTIFS('3_채널별_비용설정'!$C$6:$C$55,C223,'3_채널별_비용설정'!$D$6:$D$55,"&lt;="&amp;B223,'3_채널별_비용설정'!$O$6:$O$55,"&gt;="&amp;B223)=0,"비용 설정 필요",IF(COUNTIFS('3_채널별_비용설정'!$C$6:$C$55,C223,'3_채널별_비용설정'!$D$6:$D$55,"&lt;="&amp;B223,'3_채널별_비용설정'!$O$6:$O$55,"&gt;="&amp;B223)&gt;1,"기간 중복 확인","정상"))))</f>
      </c>
      <c r="K223" s="15" t="str">
        <f>IF(J223="","",IF(J223&lt;&gt;"정상","비용 설정 필요",SUMIFS('3_채널별_비용설정'!$F$6:$F$55,'3_채널별_비용설정'!$C$6:$C$55,C223,'3_채널별_비용설정'!$D$6:$D$55,"&lt;="&amp;B223,'3_채널별_비용설정'!$O$6:$O$55,"&gt;="&amp;B223)))</f>
      </c>
      <c r="L223" s="12" t="str">
        <f>IF(J223="","",IF(J223&lt;&gt;"정상","비용 설정 필요",ROUND(G223*K223,0)))</f>
      </c>
      <c r="M223" s="12" t="str">
        <f>IF(J223="","",IF(J223&lt;&gt;"정상","비용 설정 필요",SUMIFS('3_채널별_비용설정'!$L$6:$L$55,'3_채널별_비용설정'!$C$6:$C$55,C223,'3_채널별_비용설정'!$D$6:$D$55,"&lt;="&amp;B223,'3_채널별_비용설정'!$O$6:$O$55,"&gt;="&amp;B223)))</f>
      </c>
      <c r="N223" s="12" t="str">
        <f>IF(J223="","",IF(J223&lt;&gt;"정상","비용 설정 필요",SUMIFS('3_채널별_비용설정'!$M$6:$M$55,'3_채널별_비용설정'!$C$6:$C$55,C223,'3_채널별_비용설정'!$D$6:$D$55,"&lt;="&amp;B223,'3_채널별_비용설정'!$O$6:$O$55,"&gt;="&amp;B223)))</f>
      </c>
      <c r="O223" s="12" t="str">
        <f>IF(J223="","",IF(J223&lt;&gt;"정상","비용 설정 필요",(D223*M223)+(E223*N223)))</f>
      </c>
      <c r="P223" s="12" t="str">
        <f>IF(J223="","",IF(J223&lt;&gt;"정상","비용 설정 필요",L223+O223+H223))</f>
      </c>
      <c r="Q223" s="13" t="str">
        <f>IF(J223="","",IF(J223&lt;&gt;"정상","비용 설정 필요",G223-P223))</f>
      </c>
      <c r="R223" s="14" t="str">
        <f>IF(J223="","",IF(J223&lt;&gt;"정상","비용 설정 필요",IFERROR(Q223/G223,0)))</f>
      </c>
    </row>
    <row r="224">
      <c r="B224" s="7"/>
      <c r="C224" s="5"/>
      <c r="D224" s="8"/>
      <c r="E224" s="8"/>
      <c r="F224" s="12" t="str">
        <f>IF(AND(B224="",C224=""),"",SUM(D224:E224))</f>
      </c>
      <c r="G224" s="8"/>
      <c r="H224" s="8"/>
      <c r="I224" s="6"/>
      <c r="J224" s="10" t="str">
        <f>IF(AND(B224="",C224=""),"",IF(OR(B224="",C224=""),"비용 설정 필요",IF(COUNTIFS('3_채널별_비용설정'!$C$6:$C$55,C224,'3_채널별_비용설정'!$D$6:$D$55,"&lt;="&amp;B224,'3_채널별_비용설정'!$O$6:$O$55,"&gt;="&amp;B224)=0,"비용 설정 필요",IF(COUNTIFS('3_채널별_비용설정'!$C$6:$C$55,C224,'3_채널별_비용설정'!$D$6:$D$55,"&lt;="&amp;B224,'3_채널별_비용설정'!$O$6:$O$55,"&gt;="&amp;B224)&gt;1,"기간 중복 확인","정상"))))</f>
      </c>
      <c r="K224" s="15" t="str">
        <f>IF(J224="","",IF(J224&lt;&gt;"정상","비용 설정 필요",SUMIFS('3_채널별_비용설정'!$F$6:$F$55,'3_채널별_비용설정'!$C$6:$C$55,C224,'3_채널별_비용설정'!$D$6:$D$55,"&lt;="&amp;B224,'3_채널별_비용설정'!$O$6:$O$55,"&gt;="&amp;B224)))</f>
      </c>
      <c r="L224" s="12" t="str">
        <f>IF(J224="","",IF(J224&lt;&gt;"정상","비용 설정 필요",ROUND(G224*K224,0)))</f>
      </c>
      <c r="M224" s="12" t="str">
        <f>IF(J224="","",IF(J224&lt;&gt;"정상","비용 설정 필요",SUMIFS('3_채널별_비용설정'!$L$6:$L$55,'3_채널별_비용설정'!$C$6:$C$55,C224,'3_채널별_비용설정'!$D$6:$D$55,"&lt;="&amp;B224,'3_채널별_비용설정'!$O$6:$O$55,"&gt;="&amp;B224)))</f>
      </c>
      <c r="N224" s="12" t="str">
        <f>IF(J224="","",IF(J224&lt;&gt;"정상","비용 설정 필요",SUMIFS('3_채널별_비용설정'!$M$6:$M$55,'3_채널별_비용설정'!$C$6:$C$55,C224,'3_채널별_비용설정'!$D$6:$D$55,"&lt;="&amp;B224,'3_채널별_비용설정'!$O$6:$O$55,"&gt;="&amp;B224)))</f>
      </c>
      <c r="O224" s="12" t="str">
        <f>IF(J224="","",IF(J224&lt;&gt;"정상","비용 설정 필요",(D224*M224)+(E224*N224)))</f>
      </c>
      <c r="P224" s="12" t="str">
        <f>IF(J224="","",IF(J224&lt;&gt;"정상","비용 설정 필요",L224+O224+H224))</f>
      </c>
      <c r="Q224" s="13" t="str">
        <f>IF(J224="","",IF(J224&lt;&gt;"정상","비용 설정 필요",G224-P224))</f>
      </c>
      <c r="R224" s="14" t="str">
        <f>IF(J224="","",IF(J224&lt;&gt;"정상","비용 설정 필요",IFERROR(Q224/G224,0)))</f>
      </c>
    </row>
    <row r="225">
      <c r="B225" s="7"/>
      <c r="C225" s="5"/>
      <c r="D225" s="8"/>
      <c r="E225" s="8"/>
      <c r="F225" s="12" t="str">
        <f>IF(AND(B225="",C225=""),"",SUM(D225:E225))</f>
      </c>
      <c r="G225" s="8"/>
      <c r="H225" s="8"/>
      <c r="I225" s="6"/>
      <c r="J225" s="10" t="str">
        <f>IF(AND(B225="",C225=""),"",IF(OR(B225="",C225=""),"비용 설정 필요",IF(COUNTIFS('3_채널별_비용설정'!$C$6:$C$55,C225,'3_채널별_비용설정'!$D$6:$D$55,"&lt;="&amp;B225,'3_채널별_비용설정'!$O$6:$O$55,"&gt;="&amp;B225)=0,"비용 설정 필요",IF(COUNTIFS('3_채널별_비용설정'!$C$6:$C$55,C225,'3_채널별_비용설정'!$D$6:$D$55,"&lt;="&amp;B225,'3_채널별_비용설정'!$O$6:$O$55,"&gt;="&amp;B225)&gt;1,"기간 중복 확인","정상"))))</f>
      </c>
      <c r="K225" s="15" t="str">
        <f>IF(J225="","",IF(J225&lt;&gt;"정상","비용 설정 필요",SUMIFS('3_채널별_비용설정'!$F$6:$F$55,'3_채널별_비용설정'!$C$6:$C$55,C225,'3_채널별_비용설정'!$D$6:$D$55,"&lt;="&amp;B225,'3_채널별_비용설정'!$O$6:$O$55,"&gt;="&amp;B225)))</f>
      </c>
      <c r="L225" s="12" t="str">
        <f>IF(J225="","",IF(J225&lt;&gt;"정상","비용 설정 필요",ROUND(G225*K225,0)))</f>
      </c>
      <c r="M225" s="12" t="str">
        <f>IF(J225="","",IF(J225&lt;&gt;"정상","비용 설정 필요",SUMIFS('3_채널별_비용설정'!$L$6:$L$55,'3_채널별_비용설정'!$C$6:$C$55,C225,'3_채널별_비용설정'!$D$6:$D$55,"&lt;="&amp;B225,'3_채널별_비용설정'!$O$6:$O$55,"&gt;="&amp;B225)))</f>
      </c>
      <c r="N225" s="12" t="str">
        <f>IF(J225="","",IF(J225&lt;&gt;"정상","비용 설정 필요",SUMIFS('3_채널별_비용설정'!$M$6:$M$55,'3_채널별_비용설정'!$C$6:$C$55,C225,'3_채널별_비용설정'!$D$6:$D$55,"&lt;="&amp;B225,'3_채널별_비용설정'!$O$6:$O$55,"&gt;="&amp;B225)))</f>
      </c>
      <c r="O225" s="12" t="str">
        <f>IF(J225="","",IF(J225&lt;&gt;"정상","비용 설정 필요",(D225*M225)+(E225*N225)))</f>
      </c>
      <c r="P225" s="12" t="str">
        <f>IF(J225="","",IF(J225&lt;&gt;"정상","비용 설정 필요",L225+O225+H225))</f>
      </c>
      <c r="Q225" s="13" t="str">
        <f>IF(J225="","",IF(J225&lt;&gt;"정상","비용 설정 필요",G225-P225))</f>
      </c>
      <c r="R225" s="14" t="str">
        <f>IF(J225="","",IF(J225&lt;&gt;"정상","비용 설정 필요",IFERROR(Q225/G225,0)))</f>
      </c>
    </row>
    <row r="226">
      <c r="B226" s="7"/>
      <c r="C226" s="5"/>
      <c r="D226" s="8"/>
      <c r="E226" s="8"/>
      <c r="F226" s="12" t="str">
        <f>IF(AND(B226="",C226=""),"",SUM(D226:E226))</f>
      </c>
      <c r="G226" s="8"/>
      <c r="H226" s="8"/>
      <c r="I226" s="6"/>
      <c r="J226" s="10" t="str">
        <f>IF(AND(B226="",C226=""),"",IF(OR(B226="",C226=""),"비용 설정 필요",IF(COUNTIFS('3_채널별_비용설정'!$C$6:$C$55,C226,'3_채널별_비용설정'!$D$6:$D$55,"&lt;="&amp;B226,'3_채널별_비용설정'!$O$6:$O$55,"&gt;="&amp;B226)=0,"비용 설정 필요",IF(COUNTIFS('3_채널별_비용설정'!$C$6:$C$55,C226,'3_채널별_비용설정'!$D$6:$D$55,"&lt;="&amp;B226,'3_채널별_비용설정'!$O$6:$O$55,"&gt;="&amp;B226)&gt;1,"기간 중복 확인","정상"))))</f>
      </c>
      <c r="K226" s="15" t="str">
        <f>IF(J226="","",IF(J226&lt;&gt;"정상","비용 설정 필요",SUMIFS('3_채널별_비용설정'!$F$6:$F$55,'3_채널별_비용설정'!$C$6:$C$55,C226,'3_채널별_비용설정'!$D$6:$D$55,"&lt;="&amp;B226,'3_채널별_비용설정'!$O$6:$O$55,"&gt;="&amp;B226)))</f>
      </c>
      <c r="L226" s="12" t="str">
        <f>IF(J226="","",IF(J226&lt;&gt;"정상","비용 설정 필요",ROUND(G226*K226,0)))</f>
      </c>
      <c r="M226" s="12" t="str">
        <f>IF(J226="","",IF(J226&lt;&gt;"정상","비용 설정 필요",SUMIFS('3_채널별_비용설정'!$L$6:$L$55,'3_채널별_비용설정'!$C$6:$C$55,C226,'3_채널별_비용설정'!$D$6:$D$55,"&lt;="&amp;B226,'3_채널별_비용설정'!$O$6:$O$55,"&gt;="&amp;B226)))</f>
      </c>
      <c r="N226" s="12" t="str">
        <f>IF(J226="","",IF(J226&lt;&gt;"정상","비용 설정 필요",SUMIFS('3_채널별_비용설정'!$M$6:$M$55,'3_채널별_비용설정'!$C$6:$C$55,C226,'3_채널별_비용설정'!$D$6:$D$55,"&lt;="&amp;B226,'3_채널별_비용설정'!$O$6:$O$55,"&gt;="&amp;B226)))</f>
      </c>
      <c r="O226" s="12" t="str">
        <f>IF(J226="","",IF(J226&lt;&gt;"정상","비용 설정 필요",(D226*M226)+(E226*N226)))</f>
      </c>
      <c r="P226" s="12" t="str">
        <f>IF(J226="","",IF(J226&lt;&gt;"정상","비용 설정 필요",L226+O226+H226))</f>
      </c>
      <c r="Q226" s="13" t="str">
        <f>IF(J226="","",IF(J226&lt;&gt;"정상","비용 설정 필요",G226-P226))</f>
      </c>
      <c r="R226" s="14" t="str">
        <f>IF(J226="","",IF(J226&lt;&gt;"정상","비용 설정 필요",IFERROR(Q226/G226,0)))</f>
      </c>
    </row>
    <row r="227">
      <c r="B227" s="7"/>
      <c r="C227" s="5"/>
      <c r="D227" s="8"/>
      <c r="E227" s="8"/>
      <c r="F227" s="12" t="str">
        <f>IF(AND(B227="",C227=""),"",SUM(D227:E227))</f>
      </c>
      <c r="G227" s="8"/>
      <c r="H227" s="8"/>
      <c r="I227" s="6"/>
      <c r="J227" s="10" t="str">
        <f>IF(AND(B227="",C227=""),"",IF(OR(B227="",C227=""),"비용 설정 필요",IF(COUNTIFS('3_채널별_비용설정'!$C$6:$C$55,C227,'3_채널별_비용설정'!$D$6:$D$55,"&lt;="&amp;B227,'3_채널별_비용설정'!$O$6:$O$55,"&gt;="&amp;B227)=0,"비용 설정 필요",IF(COUNTIFS('3_채널별_비용설정'!$C$6:$C$55,C227,'3_채널별_비용설정'!$D$6:$D$55,"&lt;="&amp;B227,'3_채널별_비용설정'!$O$6:$O$55,"&gt;="&amp;B227)&gt;1,"기간 중복 확인","정상"))))</f>
      </c>
      <c r="K227" s="15" t="str">
        <f>IF(J227="","",IF(J227&lt;&gt;"정상","비용 설정 필요",SUMIFS('3_채널별_비용설정'!$F$6:$F$55,'3_채널별_비용설정'!$C$6:$C$55,C227,'3_채널별_비용설정'!$D$6:$D$55,"&lt;="&amp;B227,'3_채널별_비용설정'!$O$6:$O$55,"&gt;="&amp;B227)))</f>
      </c>
      <c r="L227" s="12" t="str">
        <f>IF(J227="","",IF(J227&lt;&gt;"정상","비용 설정 필요",ROUND(G227*K227,0)))</f>
      </c>
      <c r="M227" s="12" t="str">
        <f>IF(J227="","",IF(J227&lt;&gt;"정상","비용 설정 필요",SUMIFS('3_채널별_비용설정'!$L$6:$L$55,'3_채널별_비용설정'!$C$6:$C$55,C227,'3_채널별_비용설정'!$D$6:$D$55,"&lt;="&amp;B227,'3_채널별_비용설정'!$O$6:$O$55,"&gt;="&amp;B227)))</f>
      </c>
      <c r="N227" s="12" t="str">
        <f>IF(J227="","",IF(J227&lt;&gt;"정상","비용 설정 필요",SUMIFS('3_채널별_비용설정'!$M$6:$M$55,'3_채널별_비용설정'!$C$6:$C$55,C227,'3_채널별_비용설정'!$D$6:$D$55,"&lt;="&amp;B227,'3_채널별_비용설정'!$O$6:$O$55,"&gt;="&amp;B227)))</f>
      </c>
      <c r="O227" s="12" t="str">
        <f>IF(J227="","",IF(J227&lt;&gt;"정상","비용 설정 필요",(D227*M227)+(E227*N227)))</f>
      </c>
      <c r="P227" s="12" t="str">
        <f>IF(J227="","",IF(J227&lt;&gt;"정상","비용 설정 필요",L227+O227+H227))</f>
      </c>
      <c r="Q227" s="13" t="str">
        <f>IF(J227="","",IF(J227&lt;&gt;"정상","비용 설정 필요",G227-P227))</f>
      </c>
      <c r="R227" s="14" t="str">
        <f>IF(J227="","",IF(J227&lt;&gt;"정상","비용 설정 필요",IFERROR(Q227/G227,0)))</f>
      </c>
    </row>
    <row r="228">
      <c r="B228" s="7"/>
      <c r="C228" s="5"/>
      <c r="D228" s="8"/>
      <c r="E228" s="8"/>
      <c r="F228" s="12" t="str">
        <f>IF(AND(B228="",C228=""),"",SUM(D228:E228))</f>
      </c>
      <c r="G228" s="8"/>
      <c r="H228" s="8"/>
      <c r="I228" s="6"/>
      <c r="J228" s="10" t="str">
        <f>IF(AND(B228="",C228=""),"",IF(OR(B228="",C228=""),"비용 설정 필요",IF(COUNTIFS('3_채널별_비용설정'!$C$6:$C$55,C228,'3_채널별_비용설정'!$D$6:$D$55,"&lt;="&amp;B228,'3_채널별_비용설정'!$O$6:$O$55,"&gt;="&amp;B228)=0,"비용 설정 필요",IF(COUNTIFS('3_채널별_비용설정'!$C$6:$C$55,C228,'3_채널별_비용설정'!$D$6:$D$55,"&lt;="&amp;B228,'3_채널별_비용설정'!$O$6:$O$55,"&gt;="&amp;B228)&gt;1,"기간 중복 확인","정상"))))</f>
      </c>
      <c r="K228" s="15" t="str">
        <f>IF(J228="","",IF(J228&lt;&gt;"정상","비용 설정 필요",SUMIFS('3_채널별_비용설정'!$F$6:$F$55,'3_채널별_비용설정'!$C$6:$C$55,C228,'3_채널별_비용설정'!$D$6:$D$55,"&lt;="&amp;B228,'3_채널별_비용설정'!$O$6:$O$55,"&gt;="&amp;B228)))</f>
      </c>
      <c r="L228" s="12" t="str">
        <f>IF(J228="","",IF(J228&lt;&gt;"정상","비용 설정 필요",ROUND(G228*K228,0)))</f>
      </c>
      <c r="M228" s="12" t="str">
        <f>IF(J228="","",IF(J228&lt;&gt;"정상","비용 설정 필요",SUMIFS('3_채널별_비용설정'!$L$6:$L$55,'3_채널별_비용설정'!$C$6:$C$55,C228,'3_채널별_비용설정'!$D$6:$D$55,"&lt;="&amp;B228,'3_채널별_비용설정'!$O$6:$O$55,"&gt;="&amp;B228)))</f>
      </c>
      <c r="N228" s="12" t="str">
        <f>IF(J228="","",IF(J228&lt;&gt;"정상","비용 설정 필요",SUMIFS('3_채널별_비용설정'!$M$6:$M$55,'3_채널별_비용설정'!$C$6:$C$55,C228,'3_채널별_비용설정'!$D$6:$D$55,"&lt;="&amp;B228,'3_채널별_비용설정'!$O$6:$O$55,"&gt;="&amp;B228)))</f>
      </c>
      <c r="O228" s="12" t="str">
        <f>IF(J228="","",IF(J228&lt;&gt;"정상","비용 설정 필요",(D228*M228)+(E228*N228)))</f>
      </c>
      <c r="P228" s="12" t="str">
        <f>IF(J228="","",IF(J228&lt;&gt;"정상","비용 설정 필요",L228+O228+H228))</f>
      </c>
      <c r="Q228" s="13" t="str">
        <f>IF(J228="","",IF(J228&lt;&gt;"정상","비용 설정 필요",G228-P228))</f>
      </c>
      <c r="R228" s="14" t="str">
        <f>IF(J228="","",IF(J228&lt;&gt;"정상","비용 설정 필요",IFERROR(Q228/G228,0)))</f>
      </c>
    </row>
    <row r="229">
      <c r="B229" s="7"/>
      <c r="C229" s="5"/>
      <c r="D229" s="8"/>
      <c r="E229" s="8"/>
      <c r="F229" s="12" t="str">
        <f>IF(AND(B229="",C229=""),"",SUM(D229:E229))</f>
      </c>
      <c r="G229" s="8"/>
      <c r="H229" s="8"/>
      <c r="I229" s="6"/>
      <c r="J229" s="10" t="str">
        <f>IF(AND(B229="",C229=""),"",IF(OR(B229="",C229=""),"비용 설정 필요",IF(COUNTIFS('3_채널별_비용설정'!$C$6:$C$55,C229,'3_채널별_비용설정'!$D$6:$D$55,"&lt;="&amp;B229,'3_채널별_비용설정'!$O$6:$O$55,"&gt;="&amp;B229)=0,"비용 설정 필요",IF(COUNTIFS('3_채널별_비용설정'!$C$6:$C$55,C229,'3_채널별_비용설정'!$D$6:$D$55,"&lt;="&amp;B229,'3_채널별_비용설정'!$O$6:$O$55,"&gt;="&amp;B229)&gt;1,"기간 중복 확인","정상"))))</f>
      </c>
      <c r="K229" s="15" t="str">
        <f>IF(J229="","",IF(J229&lt;&gt;"정상","비용 설정 필요",SUMIFS('3_채널별_비용설정'!$F$6:$F$55,'3_채널별_비용설정'!$C$6:$C$55,C229,'3_채널별_비용설정'!$D$6:$D$55,"&lt;="&amp;B229,'3_채널별_비용설정'!$O$6:$O$55,"&gt;="&amp;B229)))</f>
      </c>
      <c r="L229" s="12" t="str">
        <f>IF(J229="","",IF(J229&lt;&gt;"정상","비용 설정 필요",ROUND(G229*K229,0)))</f>
      </c>
      <c r="M229" s="12" t="str">
        <f>IF(J229="","",IF(J229&lt;&gt;"정상","비용 설정 필요",SUMIFS('3_채널별_비용설정'!$L$6:$L$55,'3_채널별_비용설정'!$C$6:$C$55,C229,'3_채널별_비용설정'!$D$6:$D$55,"&lt;="&amp;B229,'3_채널별_비용설정'!$O$6:$O$55,"&gt;="&amp;B229)))</f>
      </c>
      <c r="N229" s="12" t="str">
        <f>IF(J229="","",IF(J229&lt;&gt;"정상","비용 설정 필요",SUMIFS('3_채널별_비용설정'!$M$6:$M$55,'3_채널별_비용설정'!$C$6:$C$55,C229,'3_채널별_비용설정'!$D$6:$D$55,"&lt;="&amp;B229,'3_채널별_비용설정'!$O$6:$O$55,"&gt;="&amp;B229)))</f>
      </c>
      <c r="O229" s="12" t="str">
        <f>IF(J229="","",IF(J229&lt;&gt;"정상","비용 설정 필요",(D229*M229)+(E229*N229)))</f>
      </c>
      <c r="P229" s="12" t="str">
        <f>IF(J229="","",IF(J229&lt;&gt;"정상","비용 설정 필요",L229+O229+H229))</f>
      </c>
      <c r="Q229" s="13" t="str">
        <f>IF(J229="","",IF(J229&lt;&gt;"정상","비용 설정 필요",G229-P229))</f>
      </c>
      <c r="R229" s="14" t="str">
        <f>IF(J229="","",IF(J229&lt;&gt;"정상","비용 설정 필요",IFERROR(Q229/G229,0)))</f>
      </c>
    </row>
    <row r="230">
      <c r="B230" s="7"/>
      <c r="C230" s="5"/>
      <c r="D230" s="8"/>
      <c r="E230" s="8"/>
      <c r="F230" s="12" t="str">
        <f>IF(AND(B230="",C230=""),"",SUM(D230:E230))</f>
      </c>
      <c r="G230" s="8"/>
      <c r="H230" s="8"/>
      <c r="I230" s="6"/>
      <c r="J230" s="10" t="str">
        <f>IF(AND(B230="",C230=""),"",IF(OR(B230="",C230=""),"비용 설정 필요",IF(COUNTIFS('3_채널별_비용설정'!$C$6:$C$55,C230,'3_채널별_비용설정'!$D$6:$D$55,"&lt;="&amp;B230,'3_채널별_비용설정'!$O$6:$O$55,"&gt;="&amp;B230)=0,"비용 설정 필요",IF(COUNTIFS('3_채널별_비용설정'!$C$6:$C$55,C230,'3_채널별_비용설정'!$D$6:$D$55,"&lt;="&amp;B230,'3_채널별_비용설정'!$O$6:$O$55,"&gt;="&amp;B230)&gt;1,"기간 중복 확인","정상"))))</f>
      </c>
      <c r="K230" s="15" t="str">
        <f>IF(J230="","",IF(J230&lt;&gt;"정상","비용 설정 필요",SUMIFS('3_채널별_비용설정'!$F$6:$F$55,'3_채널별_비용설정'!$C$6:$C$55,C230,'3_채널별_비용설정'!$D$6:$D$55,"&lt;="&amp;B230,'3_채널별_비용설정'!$O$6:$O$55,"&gt;="&amp;B230)))</f>
      </c>
      <c r="L230" s="12" t="str">
        <f>IF(J230="","",IF(J230&lt;&gt;"정상","비용 설정 필요",ROUND(G230*K230,0)))</f>
      </c>
      <c r="M230" s="12" t="str">
        <f>IF(J230="","",IF(J230&lt;&gt;"정상","비용 설정 필요",SUMIFS('3_채널별_비용설정'!$L$6:$L$55,'3_채널별_비용설정'!$C$6:$C$55,C230,'3_채널별_비용설정'!$D$6:$D$55,"&lt;="&amp;B230,'3_채널별_비용설정'!$O$6:$O$55,"&gt;="&amp;B230)))</f>
      </c>
      <c r="N230" s="12" t="str">
        <f>IF(J230="","",IF(J230&lt;&gt;"정상","비용 설정 필요",SUMIFS('3_채널별_비용설정'!$M$6:$M$55,'3_채널별_비용설정'!$C$6:$C$55,C230,'3_채널별_비용설정'!$D$6:$D$55,"&lt;="&amp;B230,'3_채널별_비용설정'!$O$6:$O$55,"&gt;="&amp;B230)))</f>
      </c>
      <c r="O230" s="12" t="str">
        <f>IF(J230="","",IF(J230&lt;&gt;"정상","비용 설정 필요",(D230*M230)+(E230*N230)))</f>
      </c>
      <c r="P230" s="12" t="str">
        <f>IF(J230="","",IF(J230&lt;&gt;"정상","비용 설정 필요",L230+O230+H230))</f>
      </c>
      <c r="Q230" s="13" t="str">
        <f>IF(J230="","",IF(J230&lt;&gt;"정상","비용 설정 필요",G230-P230))</f>
      </c>
      <c r="R230" s="14" t="str">
        <f>IF(J230="","",IF(J230&lt;&gt;"정상","비용 설정 필요",IFERROR(Q230/G230,0)))</f>
      </c>
    </row>
    <row r="231">
      <c r="B231" s="7"/>
      <c r="C231" s="5"/>
      <c r="D231" s="8"/>
      <c r="E231" s="8"/>
      <c r="F231" s="12" t="str">
        <f>IF(AND(B231="",C231=""),"",SUM(D231:E231))</f>
      </c>
      <c r="G231" s="8"/>
      <c r="H231" s="8"/>
      <c r="I231" s="6"/>
      <c r="J231" s="10" t="str">
        <f>IF(AND(B231="",C231=""),"",IF(OR(B231="",C231=""),"비용 설정 필요",IF(COUNTIFS('3_채널별_비용설정'!$C$6:$C$55,C231,'3_채널별_비용설정'!$D$6:$D$55,"&lt;="&amp;B231,'3_채널별_비용설정'!$O$6:$O$55,"&gt;="&amp;B231)=0,"비용 설정 필요",IF(COUNTIFS('3_채널별_비용설정'!$C$6:$C$55,C231,'3_채널별_비용설정'!$D$6:$D$55,"&lt;="&amp;B231,'3_채널별_비용설정'!$O$6:$O$55,"&gt;="&amp;B231)&gt;1,"기간 중복 확인","정상"))))</f>
      </c>
      <c r="K231" s="15" t="str">
        <f>IF(J231="","",IF(J231&lt;&gt;"정상","비용 설정 필요",SUMIFS('3_채널별_비용설정'!$F$6:$F$55,'3_채널별_비용설정'!$C$6:$C$55,C231,'3_채널별_비용설정'!$D$6:$D$55,"&lt;="&amp;B231,'3_채널별_비용설정'!$O$6:$O$55,"&gt;="&amp;B231)))</f>
      </c>
      <c r="L231" s="12" t="str">
        <f>IF(J231="","",IF(J231&lt;&gt;"정상","비용 설정 필요",ROUND(G231*K231,0)))</f>
      </c>
      <c r="M231" s="12" t="str">
        <f>IF(J231="","",IF(J231&lt;&gt;"정상","비용 설정 필요",SUMIFS('3_채널별_비용설정'!$L$6:$L$55,'3_채널별_비용설정'!$C$6:$C$55,C231,'3_채널별_비용설정'!$D$6:$D$55,"&lt;="&amp;B231,'3_채널별_비용설정'!$O$6:$O$55,"&gt;="&amp;B231)))</f>
      </c>
      <c r="N231" s="12" t="str">
        <f>IF(J231="","",IF(J231&lt;&gt;"정상","비용 설정 필요",SUMIFS('3_채널별_비용설정'!$M$6:$M$55,'3_채널별_비용설정'!$C$6:$C$55,C231,'3_채널별_비용설정'!$D$6:$D$55,"&lt;="&amp;B231,'3_채널별_비용설정'!$O$6:$O$55,"&gt;="&amp;B231)))</f>
      </c>
      <c r="O231" s="12" t="str">
        <f>IF(J231="","",IF(J231&lt;&gt;"정상","비용 설정 필요",(D231*M231)+(E231*N231)))</f>
      </c>
      <c r="P231" s="12" t="str">
        <f>IF(J231="","",IF(J231&lt;&gt;"정상","비용 설정 필요",L231+O231+H231))</f>
      </c>
      <c r="Q231" s="13" t="str">
        <f>IF(J231="","",IF(J231&lt;&gt;"정상","비용 설정 필요",G231-P231))</f>
      </c>
      <c r="R231" s="14" t="str">
        <f>IF(J231="","",IF(J231&lt;&gt;"정상","비용 설정 필요",IFERROR(Q231/G231,0)))</f>
      </c>
    </row>
    <row r="232">
      <c r="B232" s="7"/>
      <c r="C232" s="5"/>
      <c r="D232" s="8"/>
      <c r="E232" s="8"/>
      <c r="F232" s="12" t="str">
        <f>IF(AND(B232="",C232=""),"",SUM(D232:E232))</f>
      </c>
      <c r="G232" s="8"/>
      <c r="H232" s="8"/>
      <c r="I232" s="6"/>
      <c r="J232" s="10" t="str">
        <f>IF(AND(B232="",C232=""),"",IF(OR(B232="",C232=""),"비용 설정 필요",IF(COUNTIFS('3_채널별_비용설정'!$C$6:$C$55,C232,'3_채널별_비용설정'!$D$6:$D$55,"&lt;="&amp;B232,'3_채널별_비용설정'!$O$6:$O$55,"&gt;="&amp;B232)=0,"비용 설정 필요",IF(COUNTIFS('3_채널별_비용설정'!$C$6:$C$55,C232,'3_채널별_비용설정'!$D$6:$D$55,"&lt;="&amp;B232,'3_채널별_비용설정'!$O$6:$O$55,"&gt;="&amp;B232)&gt;1,"기간 중복 확인","정상"))))</f>
      </c>
      <c r="K232" s="15" t="str">
        <f>IF(J232="","",IF(J232&lt;&gt;"정상","비용 설정 필요",SUMIFS('3_채널별_비용설정'!$F$6:$F$55,'3_채널별_비용설정'!$C$6:$C$55,C232,'3_채널별_비용설정'!$D$6:$D$55,"&lt;="&amp;B232,'3_채널별_비용설정'!$O$6:$O$55,"&gt;="&amp;B232)))</f>
      </c>
      <c r="L232" s="12" t="str">
        <f>IF(J232="","",IF(J232&lt;&gt;"정상","비용 설정 필요",ROUND(G232*K232,0)))</f>
      </c>
      <c r="M232" s="12" t="str">
        <f>IF(J232="","",IF(J232&lt;&gt;"정상","비용 설정 필요",SUMIFS('3_채널별_비용설정'!$L$6:$L$55,'3_채널별_비용설정'!$C$6:$C$55,C232,'3_채널별_비용설정'!$D$6:$D$55,"&lt;="&amp;B232,'3_채널별_비용설정'!$O$6:$O$55,"&gt;="&amp;B232)))</f>
      </c>
      <c r="N232" s="12" t="str">
        <f>IF(J232="","",IF(J232&lt;&gt;"정상","비용 설정 필요",SUMIFS('3_채널별_비용설정'!$M$6:$M$55,'3_채널별_비용설정'!$C$6:$C$55,C232,'3_채널별_비용설정'!$D$6:$D$55,"&lt;="&amp;B232,'3_채널별_비용설정'!$O$6:$O$55,"&gt;="&amp;B232)))</f>
      </c>
      <c r="O232" s="12" t="str">
        <f>IF(J232="","",IF(J232&lt;&gt;"정상","비용 설정 필요",(D232*M232)+(E232*N232)))</f>
      </c>
      <c r="P232" s="12" t="str">
        <f>IF(J232="","",IF(J232&lt;&gt;"정상","비용 설정 필요",L232+O232+H232))</f>
      </c>
      <c r="Q232" s="13" t="str">
        <f>IF(J232="","",IF(J232&lt;&gt;"정상","비용 설정 필요",G232-P232))</f>
      </c>
      <c r="R232" s="14" t="str">
        <f>IF(J232="","",IF(J232&lt;&gt;"정상","비용 설정 필요",IFERROR(Q232/G232,0)))</f>
      </c>
    </row>
    <row r="233">
      <c r="B233" s="7"/>
      <c r="C233" s="5"/>
      <c r="D233" s="8"/>
      <c r="E233" s="8"/>
      <c r="F233" s="12" t="str">
        <f>IF(AND(B233="",C233=""),"",SUM(D233:E233))</f>
      </c>
      <c r="G233" s="8"/>
      <c r="H233" s="8"/>
      <c r="I233" s="6"/>
      <c r="J233" s="10" t="str">
        <f>IF(AND(B233="",C233=""),"",IF(OR(B233="",C233=""),"비용 설정 필요",IF(COUNTIFS('3_채널별_비용설정'!$C$6:$C$55,C233,'3_채널별_비용설정'!$D$6:$D$55,"&lt;="&amp;B233,'3_채널별_비용설정'!$O$6:$O$55,"&gt;="&amp;B233)=0,"비용 설정 필요",IF(COUNTIFS('3_채널별_비용설정'!$C$6:$C$55,C233,'3_채널별_비용설정'!$D$6:$D$55,"&lt;="&amp;B233,'3_채널별_비용설정'!$O$6:$O$55,"&gt;="&amp;B233)&gt;1,"기간 중복 확인","정상"))))</f>
      </c>
      <c r="K233" s="15" t="str">
        <f>IF(J233="","",IF(J233&lt;&gt;"정상","비용 설정 필요",SUMIFS('3_채널별_비용설정'!$F$6:$F$55,'3_채널별_비용설정'!$C$6:$C$55,C233,'3_채널별_비용설정'!$D$6:$D$55,"&lt;="&amp;B233,'3_채널별_비용설정'!$O$6:$O$55,"&gt;="&amp;B233)))</f>
      </c>
      <c r="L233" s="12" t="str">
        <f>IF(J233="","",IF(J233&lt;&gt;"정상","비용 설정 필요",ROUND(G233*K233,0)))</f>
      </c>
      <c r="M233" s="12" t="str">
        <f>IF(J233="","",IF(J233&lt;&gt;"정상","비용 설정 필요",SUMIFS('3_채널별_비용설정'!$L$6:$L$55,'3_채널별_비용설정'!$C$6:$C$55,C233,'3_채널별_비용설정'!$D$6:$D$55,"&lt;="&amp;B233,'3_채널별_비용설정'!$O$6:$O$55,"&gt;="&amp;B233)))</f>
      </c>
      <c r="N233" s="12" t="str">
        <f>IF(J233="","",IF(J233&lt;&gt;"정상","비용 설정 필요",SUMIFS('3_채널별_비용설정'!$M$6:$M$55,'3_채널별_비용설정'!$C$6:$C$55,C233,'3_채널별_비용설정'!$D$6:$D$55,"&lt;="&amp;B233,'3_채널별_비용설정'!$O$6:$O$55,"&gt;="&amp;B233)))</f>
      </c>
      <c r="O233" s="12" t="str">
        <f>IF(J233="","",IF(J233&lt;&gt;"정상","비용 설정 필요",(D233*M233)+(E233*N233)))</f>
      </c>
      <c r="P233" s="12" t="str">
        <f>IF(J233="","",IF(J233&lt;&gt;"정상","비용 설정 필요",L233+O233+H233))</f>
      </c>
      <c r="Q233" s="13" t="str">
        <f>IF(J233="","",IF(J233&lt;&gt;"정상","비용 설정 필요",G233-P233))</f>
      </c>
      <c r="R233" s="14" t="str">
        <f>IF(J233="","",IF(J233&lt;&gt;"정상","비용 설정 필요",IFERROR(Q233/G233,0)))</f>
      </c>
    </row>
    <row r="234">
      <c r="B234" s="7"/>
      <c r="C234" s="5"/>
      <c r="D234" s="8"/>
      <c r="E234" s="8"/>
      <c r="F234" s="12" t="str">
        <f>IF(AND(B234="",C234=""),"",SUM(D234:E234))</f>
      </c>
      <c r="G234" s="8"/>
      <c r="H234" s="8"/>
      <c r="I234" s="6"/>
      <c r="J234" s="10" t="str">
        <f>IF(AND(B234="",C234=""),"",IF(OR(B234="",C234=""),"비용 설정 필요",IF(COUNTIFS('3_채널별_비용설정'!$C$6:$C$55,C234,'3_채널별_비용설정'!$D$6:$D$55,"&lt;="&amp;B234,'3_채널별_비용설정'!$O$6:$O$55,"&gt;="&amp;B234)=0,"비용 설정 필요",IF(COUNTIFS('3_채널별_비용설정'!$C$6:$C$55,C234,'3_채널별_비용설정'!$D$6:$D$55,"&lt;="&amp;B234,'3_채널별_비용설정'!$O$6:$O$55,"&gt;="&amp;B234)&gt;1,"기간 중복 확인","정상"))))</f>
      </c>
      <c r="K234" s="15" t="str">
        <f>IF(J234="","",IF(J234&lt;&gt;"정상","비용 설정 필요",SUMIFS('3_채널별_비용설정'!$F$6:$F$55,'3_채널별_비용설정'!$C$6:$C$55,C234,'3_채널별_비용설정'!$D$6:$D$55,"&lt;="&amp;B234,'3_채널별_비용설정'!$O$6:$O$55,"&gt;="&amp;B234)))</f>
      </c>
      <c r="L234" s="12" t="str">
        <f>IF(J234="","",IF(J234&lt;&gt;"정상","비용 설정 필요",ROUND(G234*K234,0)))</f>
      </c>
      <c r="M234" s="12" t="str">
        <f>IF(J234="","",IF(J234&lt;&gt;"정상","비용 설정 필요",SUMIFS('3_채널별_비용설정'!$L$6:$L$55,'3_채널별_비용설정'!$C$6:$C$55,C234,'3_채널별_비용설정'!$D$6:$D$55,"&lt;="&amp;B234,'3_채널별_비용설정'!$O$6:$O$55,"&gt;="&amp;B234)))</f>
      </c>
      <c r="N234" s="12" t="str">
        <f>IF(J234="","",IF(J234&lt;&gt;"정상","비용 설정 필요",SUMIFS('3_채널별_비용설정'!$M$6:$M$55,'3_채널별_비용설정'!$C$6:$C$55,C234,'3_채널별_비용설정'!$D$6:$D$55,"&lt;="&amp;B234,'3_채널별_비용설정'!$O$6:$O$55,"&gt;="&amp;B234)))</f>
      </c>
      <c r="O234" s="12" t="str">
        <f>IF(J234="","",IF(J234&lt;&gt;"정상","비용 설정 필요",(D234*M234)+(E234*N234)))</f>
      </c>
      <c r="P234" s="12" t="str">
        <f>IF(J234="","",IF(J234&lt;&gt;"정상","비용 설정 필요",L234+O234+H234))</f>
      </c>
      <c r="Q234" s="13" t="str">
        <f>IF(J234="","",IF(J234&lt;&gt;"정상","비용 설정 필요",G234-P234))</f>
      </c>
      <c r="R234" s="14" t="str">
        <f>IF(J234="","",IF(J234&lt;&gt;"정상","비용 설정 필요",IFERROR(Q234/G234,0)))</f>
      </c>
    </row>
    <row r="235">
      <c r="B235" s="7"/>
      <c r="C235" s="5"/>
      <c r="D235" s="8"/>
      <c r="E235" s="8"/>
      <c r="F235" s="12" t="str">
        <f>IF(AND(B235="",C235=""),"",SUM(D235:E235))</f>
      </c>
      <c r="G235" s="8"/>
      <c r="H235" s="8"/>
      <c r="I235" s="6"/>
      <c r="J235" s="10" t="str">
        <f>IF(AND(B235="",C235=""),"",IF(OR(B235="",C235=""),"비용 설정 필요",IF(COUNTIFS('3_채널별_비용설정'!$C$6:$C$55,C235,'3_채널별_비용설정'!$D$6:$D$55,"&lt;="&amp;B235,'3_채널별_비용설정'!$O$6:$O$55,"&gt;="&amp;B235)=0,"비용 설정 필요",IF(COUNTIFS('3_채널별_비용설정'!$C$6:$C$55,C235,'3_채널별_비용설정'!$D$6:$D$55,"&lt;="&amp;B235,'3_채널별_비용설정'!$O$6:$O$55,"&gt;="&amp;B235)&gt;1,"기간 중복 확인","정상"))))</f>
      </c>
      <c r="K235" s="15" t="str">
        <f>IF(J235="","",IF(J235&lt;&gt;"정상","비용 설정 필요",SUMIFS('3_채널별_비용설정'!$F$6:$F$55,'3_채널별_비용설정'!$C$6:$C$55,C235,'3_채널별_비용설정'!$D$6:$D$55,"&lt;="&amp;B235,'3_채널별_비용설정'!$O$6:$O$55,"&gt;="&amp;B235)))</f>
      </c>
      <c r="L235" s="12" t="str">
        <f>IF(J235="","",IF(J235&lt;&gt;"정상","비용 설정 필요",ROUND(G235*K235,0)))</f>
      </c>
      <c r="M235" s="12" t="str">
        <f>IF(J235="","",IF(J235&lt;&gt;"정상","비용 설정 필요",SUMIFS('3_채널별_비용설정'!$L$6:$L$55,'3_채널별_비용설정'!$C$6:$C$55,C235,'3_채널별_비용설정'!$D$6:$D$55,"&lt;="&amp;B235,'3_채널별_비용설정'!$O$6:$O$55,"&gt;="&amp;B235)))</f>
      </c>
      <c r="N235" s="12" t="str">
        <f>IF(J235="","",IF(J235&lt;&gt;"정상","비용 설정 필요",SUMIFS('3_채널별_비용설정'!$M$6:$M$55,'3_채널별_비용설정'!$C$6:$C$55,C235,'3_채널별_비용설정'!$D$6:$D$55,"&lt;="&amp;B235,'3_채널별_비용설정'!$O$6:$O$55,"&gt;="&amp;B235)))</f>
      </c>
      <c r="O235" s="12" t="str">
        <f>IF(J235="","",IF(J235&lt;&gt;"정상","비용 설정 필요",(D235*M235)+(E235*N235)))</f>
      </c>
      <c r="P235" s="12" t="str">
        <f>IF(J235="","",IF(J235&lt;&gt;"정상","비용 설정 필요",L235+O235+H235))</f>
      </c>
      <c r="Q235" s="13" t="str">
        <f>IF(J235="","",IF(J235&lt;&gt;"정상","비용 설정 필요",G235-P235))</f>
      </c>
      <c r="R235" s="14" t="str">
        <f>IF(J235="","",IF(J235&lt;&gt;"정상","비용 설정 필요",IFERROR(Q235/G235,0)))</f>
      </c>
    </row>
    <row r="236">
      <c r="B236" s="7"/>
      <c r="C236" s="5"/>
      <c r="D236" s="8"/>
      <c r="E236" s="8"/>
      <c r="F236" s="12" t="str">
        <f>IF(AND(B236="",C236=""),"",SUM(D236:E236))</f>
      </c>
      <c r="G236" s="8"/>
      <c r="H236" s="8"/>
      <c r="I236" s="6"/>
      <c r="J236" s="10" t="str">
        <f>IF(AND(B236="",C236=""),"",IF(OR(B236="",C236=""),"비용 설정 필요",IF(COUNTIFS('3_채널별_비용설정'!$C$6:$C$55,C236,'3_채널별_비용설정'!$D$6:$D$55,"&lt;="&amp;B236,'3_채널별_비용설정'!$O$6:$O$55,"&gt;="&amp;B236)=0,"비용 설정 필요",IF(COUNTIFS('3_채널별_비용설정'!$C$6:$C$55,C236,'3_채널별_비용설정'!$D$6:$D$55,"&lt;="&amp;B236,'3_채널별_비용설정'!$O$6:$O$55,"&gt;="&amp;B236)&gt;1,"기간 중복 확인","정상"))))</f>
      </c>
      <c r="K236" s="15" t="str">
        <f>IF(J236="","",IF(J236&lt;&gt;"정상","비용 설정 필요",SUMIFS('3_채널별_비용설정'!$F$6:$F$55,'3_채널별_비용설정'!$C$6:$C$55,C236,'3_채널별_비용설정'!$D$6:$D$55,"&lt;="&amp;B236,'3_채널별_비용설정'!$O$6:$O$55,"&gt;="&amp;B236)))</f>
      </c>
      <c r="L236" s="12" t="str">
        <f>IF(J236="","",IF(J236&lt;&gt;"정상","비용 설정 필요",ROUND(G236*K236,0)))</f>
      </c>
      <c r="M236" s="12" t="str">
        <f>IF(J236="","",IF(J236&lt;&gt;"정상","비용 설정 필요",SUMIFS('3_채널별_비용설정'!$L$6:$L$55,'3_채널별_비용설정'!$C$6:$C$55,C236,'3_채널별_비용설정'!$D$6:$D$55,"&lt;="&amp;B236,'3_채널별_비용설정'!$O$6:$O$55,"&gt;="&amp;B236)))</f>
      </c>
      <c r="N236" s="12" t="str">
        <f>IF(J236="","",IF(J236&lt;&gt;"정상","비용 설정 필요",SUMIFS('3_채널별_비용설정'!$M$6:$M$55,'3_채널별_비용설정'!$C$6:$C$55,C236,'3_채널별_비용설정'!$D$6:$D$55,"&lt;="&amp;B236,'3_채널별_비용설정'!$O$6:$O$55,"&gt;="&amp;B236)))</f>
      </c>
      <c r="O236" s="12" t="str">
        <f>IF(J236="","",IF(J236&lt;&gt;"정상","비용 설정 필요",(D236*M236)+(E236*N236)))</f>
      </c>
      <c r="P236" s="12" t="str">
        <f>IF(J236="","",IF(J236&lt;&gt;"정상","비용 설정 필요",L236+O236+H236))</f>
      </c>
      <c r="Q236" s="13" t="str">
        <f>IF(J236="","",IF(J236&lt;&gt;"정상","비용 설정 필요",G236-P236))</f>
      </c>
      <c r="R236" s="14" t="str">
        <f>IF(J236="","",IF(J236&lt;&gt;"정상","비용 설정 필요",IFERROR(Q236/G236,0)))</f>
      </c>
    </row>
    <row r="237">
      <c r="B237" s="7"/>
      <c r="C237" s="5"/>
      <c r="D237" s="8"/>
      <c r="E237" s="8"/>
      <c r="F237" s="12" t="str">
        <f>IF(AND(B237="",C237=""),"",SUM(D237:E237))</f>
      </c>
      <c r="G237" s="8"/>
      <c r="H237" s="8"/>
      <c r="I237" s="6"/>
      <c r="J237" s="10" t="str">
        <f>IF(AND(B237="",C237=""),"",IF(OR(B237="",C237=""),"비용 설정 필요",IF(COUNTIFS('3_채널별_비용설정'!$C$6:$C$55,C237,'3_채널별_비용설정'!$D$6:$D$55,"&lt;="&amp;B237,'3_채널별_비용설정'!$O$6:$O$55,"&gt;="&amp;B237)=0,"비용 설정 필요",IF(COUNTIFS('3_채널별_비용설정'!$C$6:$C$55,C237,'3_채널별_비용설정'!$D$6:$D$55,"&lt;="&amp;B237,'3_채널별_비용설정'!$O$6:$O$55,"&gt;="&amp;B237)&gt;1,"기간 중복 확인","정상"))))</f>
      </c>
      <c r="K237" s="15" t="str">
        <f>IF(J237="","",IF(J237&lt;&gt;"정상","비용 설정 필요",SUMIFS('3_채널별_비용설정'!$F$6:$F$55,'3_채널별_비용설정'!$C$6:$C$55,C237,'3_채널별_비용설정'!$D$6:$D$55,"&lt;="&amp;B237,'3_채널별_비용설정'!$O$6:$O$55,"&gt;="&amp;B237)))</f>
      </c>
      <c r="L237" s="12" t="str">
        <f>IF(J237="","",IF(J237&lt;&gt;"정상","비용 설정 필요",ROUND(G237*K237,0)))</f>
      </c>
      <c r="M237" s="12" t="str">
        <f>IF(J237="","",IF(J237&lt;&gt;"정상","비용 설정 필요",SUMIFS('3_채널별_비용설정'!$L$6:$L$55,'3_채널별_비용설정'!$C$6:$C$55,C237,'3_채널별_비용설정'!$D$6:$D$55,"&lt;="&amp;B237,'3_채널별_비용설정'!$O$6:$O$55,"&gt;="&amp;B237)))</f>
      </c>
      <c r="N237" s="12" t="str">
        <f>IF(J237="","",IF(J237&lt;&gt;"정상","비용 설정 필요",SUMIFS('3_채널별_비용설정'!$M$6:$M$55,'3_채널별_비용설정'!$C$6:$C$55,C237,'3_채널별_비용설정'!$D$6:$D$55,"&lt;="&amp;B237,'3_채널별_비용설정'!$O$6:$O$55,"&gt;="&amp;B237)))</f>
      </c>
      <c r="O237" s="12" t="str">
        <f>IF(J237="","",IF(J237&lt;&gt;"정상","비용 설정 필요",(D237*M237)+(E237*N237)))</f>
      </c>
      <c r="P237" s="12" t="str">
        <f>IF(J237="","",IF(J237&lt;&gt;"정상","비용 설정 필요",L237+O237+H237))</f>
      </c>
      <c r="Q237" s="13" t="str">
        <f>IF(J237="","",IF(J237&lt;&gt;"정상","비용 설정 필요",G237-P237))</f>
      </c>
      <c r="R237" s="14" t="str">
        <f>IF(J237="","",IF(J237&lt;&gt;"정상","비용 설정 필요",IFERROR(Q237/G237,0)))</f>
      </c>
    </row>
    <row r="238">
      <c r="B238" s="7"/>
      <c r="C238" s="5"/>
      <c r="D238" s="8"/>
      <c r="E238" s="8"/>
      <c r="F238" s="12" t="str">
        <f>IF(AND(B238="",C238=""),"",SUM(D238:E238))</f>
      </c>
      <c r="G238" s="8"/>
      <c r="H238" s="8"/>
      <c r="I238" s="6"/>
      <c r="J238" s="10" t="str">
        <f>IF(AND(B238="",C238=""),"",IF(OR(B238="",C238=""),"비용 설정 필요",IF(COUNTIFS('3_채널별_비용설정'!$C$6:$C$55,C238,'3_채널별_비용설정'!$D$6:$D$55,"&lt;="&amp;B238,'3_채널별_비용설정'!$O$6:$O$55,"&gt;="&amp;B238)=0,"비용 설정 필요",IF(COUNTIFS('3_채널별_비용설정'!$C$6:$C$55,C238,'3_채널별_비용설정'!$D$6:$D$55,"&lt;="&amp;B238,'3_채널별_비용설정'!$O$6:$O$55,"&gt;="&amp;B238)&gt;1,"기간 중복 확인","정상"))))</f>
      </c>
      <c r="K238" s="15" t="str">
        <f>IF(J238="","",IF(J238&lt;&gt;"정상","비용 설정 필요",SUMIFS('3_채널별_비용설정'!$F$6:$F$55,'3_채널별_비용설정'!$C$6:$C$55,C238,'3_채널별_비용설정'!$D$6:$D$55,"&lt;="&amp;B238,'3_채널별_비용설정'!$O$6:$O$55,"&gt;="&amp;B238)))</f>
      </c>
      <c r="L238" s="12" t="str">
        <f>IF(J238="","",IF(J238&lt;&gt;"정상","비용 설정 필요",ROUND(G238*K238,0)))</f>
      </c>
      <c r="M238" s="12" t="str">
        <f>IF(J238="","",IF(J238&lt;&gt;"정상","비용 설정 필요",SUMIFS('3_채널별_비용설정'!$L$6:$L$55,'3_채널별_비용설정'!$C$6:$C$55,C238,'3_채널별_비용설정'!$D$6:$D$55,"&lt;="&amp;B238,'3_채널별_비용설정'!$O$6:$O$55,"&gt;="&amp;B238)))</f>
      </c>
      <c r="N238" s="12" t="str">
        <f>IF(J238="","",IF(J238&lt;&gt;"정상","비용 설정 필요",SUMIFS('3_채널별_비용설정'!$M$6:$M$55,'3_채널별_비용설정'!$C$6:$C$55,C238,'3_채널별_비용설정'!$D$6:$D$55,"&lt;="&amp;B238,'3_채널별_비용설정'!$O$6:$O$55,"&gt;="&amp;B238)))</f>
      </c>
      <c r="O238" s="12" t="str">
        <f>IF(J238="","",IF(J238&lt;&gt;"정상","비용 설정 필요",(D238*M238)+(E238*N238)))</f>
      </c>
      <c r="P238" s="12" t="str">
        <f>IF(J238="","",IF(J238&lt;&gt;"정상","비용 설정 필요",L238+O238+H238))</f>
      </c>
      <c r="Q238" s="13" t="str">
        <f>IF(J238="","",IF(J238&lt;&gt;"정상","비용 설정 필요",G238-P238))</f>
      </c>
      <c r="R238" s="14" t="str">
        <f>IF(J238="","",IF(J238&lt;&gt;"정상","비용 설정 필요",IFERROR(Q238/G238,0)))</f>
      </c>
    </row>
    <row r="239">
      <c r="B239" s="7"/>
      <c r="C239" s="5"/>
      <c r="D239" s="8"/>
      <c r="E239" s="8"/>
      <c r="F239" s="12" t="str">
        <f>IF(AND(B239="",C239=""),"",SUM(D239:E239))</f>
      </c>
      <c r="G239" s="8"/>
      <c r="H239" s="8"/>
      <c r="I239" s="6"/>
      <c r="J239" s="10" t="str">
        <f>IF(AND(B239="",C239=""),"",IF(OR(B239="",C239=""),"비용 설정 필요",IF(COUNTIFS('3_채널별_비용설정'!$C$6:$C$55,C239,'3_채널별_비용설정'!$D$6:$D$55,"&lt;="&amp;B239,'3_채널별_비용설정'!$O$6:$O$55,"&gt;="&amp;B239)=0,"비용 설정 필요",IF(COUNTIFS('3_채널별_비용설정'!$C$6:$C$55,C239,'3_채널별_비용설정'!$D$6:$D$55,"&lt;="&amp;B239,'3_채널별_비용설정'!$O$6:$O$55,"&gt;="&amp;B239)&gt;1,"기간 중복 확인","정상"))))</f>
      </c>
      <c r="K239" s="15" t="str">
        <f>IF(J239="","",IF(J239&lt;&gt;"정상","비용 설정 필요",SUMIFS('3_채널별_비용설정'!$F$6:$F$55,'3_채널별_비용설정'!$C$6:$C$55,C239,'3_채널별_비용설정'!$D$6:$D$55,"&lt;="&amp;B239,'3_채널별_비용설정'!$O$6:$O$55,"&gt;="&amp;B239)))</f>
      </c>
      <c r="L239" s="12" t="str">
        <f>IF(J239="","",IF(J239&lt;&gt;"정상","비용 설정 필요",ROUND(G239*K239,0)))</f>
      </c>
      <c r="M239" s="12" t="str">
        <f>IF(J239="","",IF(J239&lt;&gt;"정상","비용 설정 필요",SUMIFS('3_채널별_비용설정'!$L$6:$L$55,'3_채널별_비용설정'!$C$6:$C$55,C239,'3_채널별_비용설정'!$D$6:$D$55,"&lt;="&amp;B239,'3_채널별_비용설정'!$O$6:$O$55,"&gt;="&amp;B239)))</f>
      </c>
      <c r="N239" s="12" t="str">
        <f>IF(J239="","",IF(J239&lt;&gt;"정상","비용 설정 필요",SUMIFS('3_채널별_비용설정'!$M$6:$M$55,'3_채널별_비용설정'!$C$6:$C$55,C239,'3_채널별_비용설정'!$D$6:$D$55,"&lt;="&amp;B239,'3_채널별_비용설정'!$O$6:$O$55,"&gt;="&amp;B239)))</f>
      </c>
      <c r="O239" s="12" t="str">
        <f>IF(J239="","",IF(J239&lt;&gt;"정상","비용 설정 필요",(D239*M239)+(E239*N239)))</f>
      </c>
      <c r="P239" s="12" t="str">
        <f>IF(J239="","",IF(J239&lt;&gt;"정상","비용 설정 필요",L239+O239+H239))</f>
      </c>
      <c r="Q239" s="13" t="str">
        <f>IF(J239="","",IF(J239&lt;&gt;"정상","비용 설정 필요",G239-P239))</f>
      </c>
      <c r="R239" s="14" t="str">
        <f>IF(J239="","",IF(J239&lt;&gt;"정상","비용 설정 필요",IFERROR(Q239/G239,0)))</f>
      </c>
    </row>
    <row r="240">
      <c r="B240" s="7"/>
      <c r="C240" s="5"/>
      <c r="D240" s="8"/>
      <c r="E240" s="8"/>
      <c r="F240" s="12" t="str">
        <f>IF(AND(B240="",C240=""),"",SUM(D240:E240))</f>
      </c>
      <c r="G240" s="8"/>
      <c r="H240" s="8"/>
      <c r="I240" s="6"/>
      <c r="J240" s="10" t="str">
        <f>IF(AND(B240="",C240=""),"",IF(OR(B240="",C240=""),"비용 설정 필요",IF(COUNTIFS('3_채널별_비용설정'!$C$6:$C$55,C240,'3_채널별_비용설정'!$D$6:$D$55,"&lt;="&amp;B240,'3_채널별_비용설정'!$O$6:$O$55,"&gt;="&amp;B240)=0,"비용 설정 필요",IF(COUNTIFS('3_채널별_비용설정'!$C$6:$C$55,C240,'3_채널별_비용설정'!$D$6:$D$55,"&lt;="&amp;B240,'3_채널별_비용설정'!$O$6:$O$55,"&gt;="&amp;B240)&gt;1,"기간 중복 확인","정상"))))</f>
      </c>
      <c r="K240" s="15" t="str">
        <f>IF(J240="","",IF(J240&lt;&gt;"정상","비용 설정 필요",SUMIFS('3_채널별_비용설정'!$F$6:$F$55,'3_채널별_비용설정'!$C$6:$C$55,C240,'3_채널별_비용설정'!$D$6:$D$55,"&lt;="&amp;B240,'3_채널별_비용설정'!$O$6:$O$55,"&gt;="&amp;B240)))</f>
      </c>
      <c r="L240" s="12" t="str">
        <f>IF(J240="","",IF(J240&lt;&gt;"정상","비용 설정 필요",ROUND(G240*K240,0)))</f>
      </c>
      <c r="M240" s="12" t="str">
        <f>IF(J240="","",IF(J240&lt;&gt;"정상","비용 설정 필요",SUMIFS('3_채널별_비용설정'!$L$6:$L$55,'3_채널별_비용설정'!$C$6:$C$55,C240,'3_채널별_비용설정'!$D$6:$D$55,"&lt;="&amp;B240,'3_채널별_비용설정'!$O$6:$O$55,"&gt;="&amp;B240)))</f>
      </c>
      <c r="N240" s="12" t="str">
        <f>IF(J240="","",IF(J240&lt;&gt;"정상","비용 설정 필요",SUMIFS('3_채널별_비용설정'!$M$6:$M$55,'3_채널별_비용설정'!$C$6:$C$55,C240,'3_채널별_비용설정'!$D$6:$D$55,"&lt;="&amp;B240,'3_채널별_비용설정'!$O$6:$O$55,"&gt;="&amp;B240)))</f>
      </c>
      <c r="O240" s="12" t="str">
        <f>IF(J240="","",IF(J240&lt;&gt;"정상","비용 설정 필요",(D240*M240)+(E240*N240)))</f>
      </c>
      <c r="P240" s="12" t="str">
        <f>IF(J240="","",IF(J240&lt;&gt;"정상","비용 설정 필요",L240+O240+H240))</f>
      </c>
      <c r="Q240" s="13" t="str">
        <f>IF(J240="","",IF(J240&lt;&gt;"정상","비용 설정 필요",G240-P240))</f>
      </c>
      <c r="R240" s="14" t="str">
        <f>IF(J240="","",IF(J240&lt;&gt;"정상","비용 설정 필요",IFERROR(Q240/G240,0)))</f>
      </c>
    </row>
    <row r="241">
      <c r="B241" s="7"/>
      <c r="C241" s="5"/>
      <c r="D241" s="8"/>
      <c r="E241" s="8"/>
      <c r="F241" s="12" t="str">
        <f>IF(AND(B241="",C241=""),"",SUM(D241:E241))</f>
      </c>
      <c r="G241" s="8"/>
      <c r="H241" s="8"/>
      <c r="I241" s="6"/>
      <c r="J241" s="10" t="str">
        <f>IF(AND(B241="",C241=""),"",IF(OR(B241="",C241=""),"비용 설정 필요",IF(COUNTIFS('3_채널별_비용설정'!$C$6:$C$55,C241,'3_채널별_비용설정'!$D$6:$D$55,"&lt;="&amp;B241,'3_채널별_비용설정'!$O$6:$O$55,"&gt;="&amp;B241)=0,"비용 설정 필요",IF(COUNTIFS('3_채널별_비용설정'!$C$6:$C$55,C241,'3_채널별_비용설정'!$D$6:$D$55,"&lt;="&amp;B241,'3_채널별_비용설정'!$O$6:$O$55,"&gt;="&amp;B241)&gt;1,"기간 중복 확인","정상"))))</f>
      </c>
      <c r="K241" s="15" t="str">
        <f>IF(J241="","",IF(J241&lt;&gt;"정상","비용 설정 필요",SUMIFS('3_채널별_비용설정'!$F$6:$F$55,'3_채널별_비용설정'!$C$6:$C$55,C241,'3_채널별_비용설정'!$D$6:$D$55,"&lt;="&amp;B241,'3_채널별_비용설정'!$O$6:$O$55,"&gt;="&amp;B241)))</f>
      </c>
      <c r="L241" s="12" t="str">
        <f>IF(J241="","",IF(J241&lt;&gt;"정상","비용 설정 필요",ROUND(G241*K241,0)))</f>
      </c>
      <c r="M241" s="12" t="str">
        <f>IF(J241="","",IF(J241&lt;&gt;"정상","비용 설정 필요",SUMIFS('3_채널별_비용설정'!$L$6:$L$55,'3_채널별_비용설정'!$C$6:$C$55,C241,'3_채널별_비용설정'!$D$6:$D$55,"&lt;="&amp;B241,'3_채널별_비용설정'!$O$6:$O$55,"&gt;="&amp;B241)))</f>
      </c>
      <c r="N241" s="12" t="str">
        <f>IF(J241="","",IF(J241&lt;&gt;"정상","비용 설정 필요",SUMIFS('3_채널별_비용설정'!$M$6:$M$55,'3_채널별_비용설정'!$C$6:$C$55,C241,'3_채널별_비용설정'!$D$6:$D$55,"&lt;="&amp;B241,'3_채널별_비용설정'!$O$6:$O$55,"&gt;="&amp;B241)))</f>
      </c>
      <c r="O241" s="12" t="str">
        <f>IF(J241="","",IF(J241&lt;&gt;"정상","비용 설정 필요",(D241*M241)+(E241*N241)))</f>
      </c>
      <c r="P241" s="12" t="str">
        <f>IF(J241="","",IF(J241&lt;&gt;"정상","비용 설정 필요",L241+O241+H241))</f>
      </c>
      <c r="Q241" s="13" t="str">
        <f>IF(J241="","",IF(J241&lt;&gt;"정상","비용 설정 필요",G241-P241))</f>
      </c>
      <c r="R241" s="14" t="str">
        <f>IF(J241="","",IF(J241&lt;&gt;"정상","비용 설정 필요",IFERROR(Q241/G241,0)))</f>
      </c>
    </row>
    <row r="242">
      <c r="B242" s="7"/>
      <c r="C242" s="5"/>
      <c r="D242" s="8"/>
      <c r="E242" s="8"/>
      <c r="F242" s="12" t="str">
        <f>IF(AND(B242="",C242=""),"",SUM(D242:E242))</f>
      </c>
      <c r="G242" s="8"/>
      <c r="H242" s="8"/>
      <c r="I242" s="6"/>
      <c r="J242" s="10" t="str">
        <f>IF(AND(B242="",C242=""),"",IF(OR(B242="",C242=""),"비용 설정 필요",IF(COUNTIFS('3_채널별_비용설정'!$C$6:$C$55,C242,'3_채널별_비용설정'!$D$6:$D$55,"&lt;="&amp;B242,'3_채널별_비용설정'!$O$6:$O$55,"&gt;="&amp;B242)=0,"비용 설정 필요",IF(COUNTIFS('3_채널별_비용설정'!$C$6:$C$55,C242,'3_채널별_비용설정'!$D$6:$D$55,"&lt;="&amp;B242,'3_채널별_비용설정'!$O$6:$O$55,"&gt;="&amp;B242)&gt;1,"기간 중복 확인","정상"))))</f>
      </c>
      <c r="K242" s="15" t="str">
        <f>IF(J242="","",IF(J242&lt;&gt;"정상","비용 설정 필요",SUMIFS('3_채널별_비용설정'!$F$6:$F$55,'3_채널별_비용설정'!$C$6:$C$55,C242,'3_채널별_비용설정'!$D$6:$D$55,"&lt;="&amp;B242,'3_채널별_비용설정'!$O$6:$O$55,"&gt;="&amp;B242)))</f>
      </c>
      <c r="L242" s="12" t="str">
        <f>IF(J242="","",IF(J242&lt;&gt;"정상","비용 설정 필요",ROUND(G242*K242,0)))</f>
      </c>
      <c r="M242" s="12" t="str">
        <f>IF(J242="","",IF(J242&lt;&gt;"정상","비용 설정 필요",SUMIFS('3_채널별_비용설정'!$L$6:$L$55,'3_채널별_비용설정'!$C$6:$C$55,C242,'3_채널별_비용설정'!$D$6:$D$55,"&lt;="&amp;B242,'3_채널별_비용설정'!$O$6:$O$55,"&gt;="&amp;B242)))</f>
      </c>
      <c r="N242" s="12" t="str">
        <f>IF(J242="","",IF(J242&lt;&gt;"정상","비용 설정 필요",SUMIFS('3_채널별_비용설정'!$M$6:$M$55,'3_채널별_비용설정'!$C$6:$C$55,C242,'3_채널별_비용설정'!$D$6:$D$55,"&lt;="&amp;B242,'3_채널별_비용설정'!$O$6:$O$55,"&gt;="&amp;B242)))</f>
      </c>
      <c r="O242" s="12" t="str">
        <f>IF(J242="","",IF(J242&lt;&gt;"정상","비용 설정 필요",(D242*M242)+(E242*N242)))</f>
      </c>
      <c r="P242" s="12" t="str">
        <f>IF(J242="","",IF(J242&lt;&gt;"정상","비용 설정 필요",L242+O242+H242))</f>
      </c>
      <c r="Q242" s="13" t="str">
        <f>IF(J242="","",IF(J242&lt;&gt;"정상","비용 설정 필요",G242-P242))</f>
      </c>
      <c r="R242" s="14" t="str">
        <f>IF(J242="","",IF(J242&lt;&gt;"정상","비용 설정 필요",IFERROR(Q242/G242,0)))</f>
      </c>
    </row>
    <row r="243">
      <c r="B243" s="7"/>
      <c r="C243" s="5"/>
      <c r="D243" s="8"/>
      <c r="E243" s="8"/>
      <c r="F243" s="12" t="str">
        <f>IF(AND(B243="",C243=""),"",SUM(D243:E243))</f>
      </c>
      <c r="G243" s="8"/>
      <c r="H243" s="8"/>
      <c r="I243" s="6"/>
      <c r="J243" s="10" t="str">
        <f>IF(AND(B243="",C243=""),"",IF(OR(B243="",C243=""),"비용 설정 필요",IF(COUNTIFS('3_채널별_비용설정'!$C$6:$C$55,C243,'3_채널별_비용설정'!$D$6:$D$55,"&lt;="&amp;B243,'3_채널별_비용설정'!$O$6:$O$55,"&gt;="&amp;B243)=0,"비용 설정 필요",IF(COUNTIFS('3_채널별_비용설정'!$C$6:$C$55,C243,'3_채널별_비용설정'!$D$6:$D$55,"&lt;="&amp;B243,'3_채널별_비용설정'!$O$6:$O$55,"&gt;="&amp;B243)&gt;1,"기간 중복 확인","정상"))))</f>
      </c>
      <c r="K243" s="15" t="str">
        <f>IF(J243="","",IF(J243&lt;&gt;"정상","비용 설정 필요",SUMIFS('3_채널별_비용설정'!$F$6:$F$55,'3_채널별_비용설정'!$C$6:$C$55,C243,'3_채널별_비용설정'!$D$6:$D$55,"&lt;="&amp;B243,'3_채널별_비용설정'!$O$6:$O$55,"&gt;="&amp;B243)))</f>
      </c>
      <c r="L243" s="12" t="str">
        <f>IF(J243="","",IF(J243&lt;&gt;"정상","비용 설정 필요",ROUND(G243*K243,0)))</f>
      </c>
      <c r="M243" s="12" t="str">
        <f>IF(J243="","",IF(J243&lt;&gt;"정상","비용 설정 필요",SUMIFS('3_채널별_비용설정'!$L$6:$L$55,'3_채널별_비용설정'!$C$6:$C$55,C243,'3_채널별_비용설정'!$D$6:$D$55,"&lt;="&amp;B243,'3_채널별_비용설정'!$O$6:$O$55,"&gt;="&amp;B243)))</f>
      </c>
      <c r="N243" s="12" t="str">
        <f>IF(J243="","",IF(J243&lt;&gt;"정상","비용 설정 필요",SUMIFS('3_채널별_비용설정'!$M$6:$M$55,'3_채널별_비용설정'!$C$6:$C$55,C243,'3_채널별_비용설정'!$D$6:$D$55,"&lt;="&amp;B243,'3_채널별_비용설정'!$O$6:$O$55,"&gt;="&amp;B243)))</f>
      </c>
      <c r="O243" s="12" t="str">
        <f>IF(J243="","",IF(J243&lt;&gt;"정상","비용 설정 필요",(D243*M243)+(E243*N243)))</f>
      </c>
      <c r="P243" s="12" t="str">
        <f>IF(J243="","",IF(J243&lt;&gt;"정상","비용 설정 필요",L243+O243+H243))</f>
      </c>
      <c r="Q243" s="13" t="str">
        <f>IF(J243="","",IF(J243&lt;&gt;"정상","비용 설정 필요",G243-P243))</f>
      </c>
      <c r="R243" s="14" t="str">
        <f>IF(J243="","",IF(J243&lt;&gt;"정상","비용 설정 필요",IFERROR(Q243/G243,0)))</f>
      </c>
    </row>
    <row r="244">
      <c r="B244" s="7"/>
      <c r="C244" s="5"/>
      <c r="D244" s="8"/>
      <c r="E244" s="8"/>
      <c r="F244" s="12" t="str">
        <f>IF(AND(B244="",C244=""),"",SUM(D244:E244))</f>
      </c>
      <c r="G244" s="8"/>
      <c r="H244" s="8"/>
      <c r="I244" s="6"/>
      <c r="J244" s="10" t="str">
        <f>IF(AND(B244="",C244=""),"",IF(OR(B244="",C244=""),"비용 설정 필요",IF(COUNTIFS('3_채널별_비용설정'!$C$6:$C$55,C244,'3_채널별_비용설정'!$D$6:$D$55,"&lt;="&amp;B244,'3_채널별_비용설정'!$O$6:$O$55,"&gt;="&amp;B244)=0,"비용 설정 필요",IF(COUNTIFS('3_채널별_비용설정'!$C$6:$C$55,C244,'3_채널별_비용설정'!$D$6:$D$55,"&lt;="&amp;B244,'3_채널별_비용설정'!$O$6:$O$55,"&gt;="&amp;B244)&gt;1,"기간 중복 확인","정상"))))</f>
      </c>
      <c r="K244" s="15" t="str">
        <f>IF(J244="","",IF(J244&lt;&gt;"정상","비용 설정 필요",SUMIFS('3_채널별_비용설정'!$F$6:$F$55,'3_채널별_비용설정'!$C$6:$C$55,C244,'3_채널별_비용설정'!$D$6:$D$55,"&lt;="&amp;B244,'3_채널별_비용설정'!$O$6:$O$55,"&gt;="&amp;B244)))</f>
      </c>
      <c r="L244" s="12" t="str">
        <f>IF(J244="","",IF(J244&lt;&gt;"정상","비용 설정 필요",ROUND(G244*K244,0)))</f>
      </c>
      <c r="M244" s="12" t="str">
        <f>IF(J244="","",IF(J244&lt;&gt;"정상","비용 설정 필요",SUMIFS('3_채널별_비용설정'!$L$6:$L$55,'3_채널별_비용설정'!$C$6:$C$55,C244,'3_채널별_비용설정'!$D$6:$D$55,"&lt;="&amp;B244,'3_채널별_비용설정'!$O$6:$O$55,"&gt;="&amp;B244)))</f>
      </c>
      <c r="N244" s="12" t="str">
        <f>IF(J244="","",IF(J244&lt;&gt;"정상","비용 설정 필요",SUMIFS('3_채널별_비용설정'!$M$6:$M$55,'3_채널별_비용설정'!$C$6:$C$55,C244,'3_채널별_비용설정'!$D$6:$D$55,"&lt;="&amp;B244,'3_채널별_비용설정'!$O$6:$O$55,"&gt;="&amp;B244)))</f>
      </c>
      <c r="O244" s="12" t="str">
        <f>IF(J244="","",IF(J244&lt;&gt;"정상","비용 설정 필요",(D244*M244)+(E244*N244)))</f>
      </c>
      <c r="P244" s="12" t="str">
        <f>IF(J244="","",IF(J244&lt;&gt;"정상","비용 설정 필요",L244+O244+H244))</f>
      </c>
      <c r="Q244" s="13" t="str">
        <f>IF(J244="","",IF(J244&lt;&gt;"정상","비용 설정 필요",G244-P244))</f>
      </c>
      <c r="R244" s="14" t="str">
        <f>IF(J244="","",IF(J244&lt;&gt;"정상","비용 설정 필요",IFERROR(Q244/G244,0)))</f>
      </c>
    </row>
    <row r="245">
      <c r="B245" s="7"/>
      <c r="C245" s="5"/>
      <c r="D245" s="8"/>
      <c r="E245" s="8"/>
      <c r="F245" s="12" t="str">
        <f>IF(AND(B245="",C245=""),"",SUM(D245:E245))</f>
      </c>
      <c r="G245" s="8"/>
      <c r="H245" s="8"/>
      <c r="I245" s="6"/>
      <c r="J245" s="10" t="str">
        <f>IF(AND(B245="",C245=""),"",IF(OR(B245="",C245=""),"비용 설정 필요",IF(COUNTIFS('3_채널별_비용설정'!$C$6:$C$55,C245,'3_채널별_비용설정'!$D$6:$D$55,"&lt;="&amp;B245,'3_채널별_비용설정'!$O$6:$O$55,"&gt;="&amp;B245)=0,"비용 설정 필요",IF(COUNTIFS('3_채널별_비용설정'!$C$6:$C$55,C245,'3_채널별_비용설정'!$D$6:$D$55,"&lt;="&amp;B245,'3_채널별_비용설정'!$O$6:$O$55,"&gt;="&amp;B245)&gt;1,"기간 중복 확인","정상"))))</f>
      </c>
      <c r="K245" s="15" t="str">
        <f>IF(J245="","",IF(J245&lt;&gt;"정상","비용 설정 필요",SUMIFS('3_채널별_비용설정'!$F$6:$F$55,'3_채널별_비용설정'!$C$6:$C$55,C245,'3_채널별_비용설정'!$D$6:$D$55,"&lt;="&amp;B245,'3_채널별_비용설정'!$O$6:$O$55,"&gt;="&amp;B245)))</f>
      </c>
      <c r="L245" s="12" t="str">
        <f>IF(J245="","",IF(J245&lt;&gt;"정상","비용 설정 필요",ROUND(G245*K245,0)))</f>
      </c>
      <c r="M245" s="12" t="str">
        <f>IF(J245="","",IF(J245&lt;&gt;"정상","비용 설정 필요",SUMIFS('3_채널별_비용설정'!$L$6:$L$55,'3_채널별_비용설정'!$C$6:$C$55,C245,'3_채널별_비용설정'!$D$6:$D$55,"&lt;="&amp;B245,'3_채널별_비용설정'!$O$6:$O$55,"&gt;="&amp;B245)))</f>
      </c>
      <c r="N245" s="12" t="str">
        <f>IF(J245="","",IF(J245&lt;&gt;"정상","비용 설정 필요",SUMIFS('3_채널별_비용설정'!$M$6:$M$55,'3_채널별_비용설정'!$C$6:$C$55,C245,'3_채널별_비용설정'!$D$6:$D$55,"&lt;="&amp;B245,'3_채널별_비용설정'!$O$6:$O$55,"&gt;="&amp;B245)))</f>
      </c>
      <c r="O245" s="12" t="str">
        <f>IF(J245="","",IF(J245&lt;&gt;"정상","비용 설정 필요",(D245*M245)+(E245*N245)))</f>
      </c>
      <c r="P245" s="12" t="str">
        <f>IF(J245="","",IF(J245&lt;&gt;"정상","비용 설정 필요",L245+O245+H245))</f>
      </c>
      <c r="Q245" s="13" t="str">
        <f>IF(J245="","",IF(J245&lt;&gt;"정상","비용 설정 필요",G245-P245))</f>
      </c>
      <c r="R245" s="14" t="str">
        <f>IF(J245="","",IF(J245&lt;&gt;"정상","비용 설정 필요",IFERROR(Q245/G245,0)))</f>
      </c>
    </row>
    <row r="246">
      <c r="B246" s="7"/>
      <c r="C246" s="5"/>
      <c r="D246" s="8"/>
      <c r="E246" s="8"/>
      <c r="F246" s="12" t="str">
        <f>IF(AND(B246="",C246=""),"",SUM(D246:E246))</f>
      </c>
      <c r="G246" s="8"/>
      <c r="H246" s="8"/>
      <c r="I246" s="6"/>
      <c r="J246" s="10" t="str">
        <f>IF(AND(B246="",C246=""),"",IF(OR(B246="",C246=""),"비용 설정 필요",IF(COUNTIFS('3_채널별_비용설정'!$C$6:$C$55,C246,'3_채널별_비용설정'!$D$6:$D$55,"&lt;="&amp;B246,'3_채널별_비용설정'!$O$6:$O$55,"&gt;="&amp;B246)=0,"비용 설정 필요",IF(COUNTIFS('3_채널별_비용설정'!$C$6:$C$55,C246,'3_채널별_비용설정'!$D$6:$D$55,"&lt;="&amp;B246,'3_채널별_비용설정'!$O$6:$O$55,"&gt;="&amp;B246)&gt;1,"기간 중복 확인","정상"))))</f>
      </c>
      <c r="K246" s="15" t="str">
        <f>IF(J246="","",IF(J246&lt;&gt;"정상","비용 설정 필요",SUMIFS('3_채널별_비용설정'!$F$6:$F$55,'3_채널별_비용설정'!$C$6:$C$55,C246,'3_채널별_비용설정'!$D$6:$D$55,"&lt;="&amp;B246,'3_채널별_비용설정'!$O$6:$O$55,"&gt;="&amp;B246)))</f>
      </c>
      <c r="L246" s="12" t="str">
        <f>IF(J246="","",IF(J246&lt;&gt;"정상","비용 설정 필요",ROUND(G246*K246,0)))</f>
      </c>
      <c r="M246" s="12" t="str">
        <f>IF(J246="","",IF(J246&lt;&gt;"정상","비용 설정 필요",SUMIFS('3_채널별_비용설정'!$L$6:$L$55,'3_채널별_비용설정'!$C$6:$C$55,C246,'3_채널별_비용설정'!$D$6:$D$55,"&lt;="&amp;B246,'3_채널별_비용설정'!$O$6:$O$55,"&gt;="&amp;B246)))</f>
      </c>
      <c r="N246" s="12" t="str">
        <f>IF(J246="","",IF(J246&lt;&gt;"정상","비용 설정 필요",SUMIFS('3_채널별_비용설정'!$M$6:$M$55,'3_채널별_비용설정'!$C$6:$C$55,C246,'3_채널별_비용설정'!$D$6:$D$55,"&lt;="&amp;B246,'3_채널별_비용설정'!$O$6:$O$55,"&gt;="&amp;B246)))</f>
      </c>
      <c r="O246" s="12" t="str">
        <f>IF(J246="","",IF(J246&lt;&gt;"정상","비용 설정 필요",(D246*M246)+(E246*N246)))</f>
      </c>
      <c r="P246" s="12" t="str">
        <f>IF(J246="","",IF(J246&lt;&gt;"정상","비용 설정 필요",L246+O246+H246))</f>
      </c>
      <c r="Q246" s="13" t="str">
        <f>IF(J246="","",IF(J246&lt;&gt;"정상","비용 설정 필요",G246-P246))</f>
      </c>
      <c r="R246" s="14" t="str">
        <f>IF(J246="","",IF(J246&lt;&gt;"정상","비용 설정 필요",IFERROR(Q246/G246,0)))</f>
      </c>
    </row>
    <row r="247">
      <c r="B247" s="7"/>
      <c r="C247" s="5"/>
      <c r="D247" s="8"/>
      <c r="E247" s="8"/>
      <c r="F247" s="12" t="str">
        <f>IF(AND(B247="",C247=""),"",SUM(D247:E247))</f>
      </c>
      <c r="G247" s="8"/>
      <c r="H247" s="8"/>
      <c r="I247" s="6"/>
      <c r="J247" s="10" t="str">
        <f>IF(AND(B247="",C247=""),"",IF(OR(B247="",C247=""),"비용 설정 필요",IF(COUNTIFS('3_채널별_비용설정'!$C$6:$C$55,C247,'3_채널별_비용설정'!$D$6:$D$55,"&lt;="&amp;B247,'3_채널별_비용설정'!$O$6:$O$55,"&gt;="&amp;B247)=0,"비용 설정 필요",IF(COUNTIFS('3_채널별_비용설정'!$C$6:$C$55,C247,'3_채널별_비용설정'!$D$6:$D$55,"&lt;="&amp;B247,'3_채널별_비용설정'!$O$6:$O$55,"&gt;="&amp;B247)&gt;1,"기간 중복 확인","정상"))))</f>
      </c>
      <c r="K247" s="15" t="str">
        <f>IF(J247="","",IF(J247&lt;&gt;"정상","비용 설정 필요",SUMIFS('3_채널별_비용설정'!$F$6:$F$55,'3_채널별_비용설정'!$C$6:$C$55,C247,'3_채널별_비용설정'!$D$6:$D$55,"&lt;="&amp;B247,'3_채널별_비용설정'!$O$6:$O$55,"&gt;="&amp;B247)))</f>
      </c>
      <c r="L247" s="12" t="str">
        <f>IF(J247="","",IF(J247&lt;&gt;"정상","비용 설정 필요",ROUND(G247*K247,0)))</f>
      </c>
      <c r="M247" s="12" t="str">
        <f>IF(J247="","",IF(J247&lt;&gt;"정상","비용 설정 필요",SUMIFS('3_채널별_비용설정'!$L$6:$L$55,'3_채널별_비용설정'!$C$6:$C$55,C247,'3_채널별_비용설정'!$D$6:$D$55,"&lt;="&amp;B247,'3_채널별_비용설정'!$O$6:$O$55,"&gt;="&amp;B247)))</f>
      </c>
      <c r="N247" s="12" t="str">
        <f>IF(J247="","",IF(J247&lt;&gt;"정상","비용 설정 필요",SUMIFS('3_채널별_비용설정'!$M$6:$M$55,'3_채널별_비용설정'!$C$6:$C$55,C247,'3_채널별_비용설정'!$D$6:$D$55,"&lt;="&amp;B247,'3_채널별_비용설정'!$O$6:$O$55,"&gt;="&amp;B247)))</f>
      </c>
      <c r="O247" s="12" t="str">
        <f>IF(J247="","",IF(J247&lt;&gt;"정상","비용 설정 필요",(D247*M247)+(E247*N247)))</f>
      </c>
      <c r="P247" s="12" t="str">
        <f>IF(J247="","",IF(J247&lt;&gt;"정상","비용 설정 필요",L247+O247+H247))</f>
      </c>
      <c r="Q247" s="13" t="str">
        <f>IF(J247="","",IF(J247&lt;&gt;"정상","비용 설정 필요",G247-P247))</f>
      </c>
      <c r="R247" s="14" t="str">
        <f>IF(J247="","",IF(J247&lt;&gt;"정상","비용 설정 필요",IFERROR(Q247/G247,0)))</f>
      </c>
    </row>
    <row r="248">
      <c r="B248" s="7"/>
      <c r="C248" s="5"/>
      <c r="D248" s="8"/>
      <c r="E248" s="8"/>
      <c r="F248" s="12" t="str">
        <f>IF(AND(B248="",C248=""),"",SUM(D248:E248))</f>
      </c>
      <c r="G248" s="8"/>
      <c r="H248" s="8"/>
      <c r="I248" s="6"/>
      <c r="J248" s="10" t="str">
        <f>IF(AND(B248="",C248=""),"",IF(OR(B248="",C248=""),"비용 설정 필요",IF(COUNTIFS('3_채널별_비용설정'!$C$6:$C$55,C248,'3_채널별_비용설정'!$D$6:$D$55,"&lt;="&amp;B248,'3_채널별_비용설정'!$O$6:$O$55,"&gt;="&amp;B248)=0,"비용 설정 필요",IF(COUNTIFS('3_채널별_비용설정'!$C$6:$C$55,C248,'3_채널별_비용설정'!$D$6:$D$55,"&lt;="&amp;B248,'3_채널별_비용설정'!$O$6:$O$55,"&gt;="&amp;B248)&gt;1,"기간 중복 확인","정상"))))</f>
      </c>
      <c r="K248" s="15" t="str">
        <f>IF(J248="","",IF(J248&lt;&gt;"정상","비용 설정 필요",SUMIFS('3_채널별_비용설정'!$F$6:$F$55,'3_채널별_비용설정'!$C$6:$C$55,C248,'3_채널별_비용설정'!$D$6:$D$55,"&lt;="&amp;B248,'3_채널별_비용설정'!$O$6:$O$55,"&gt;="&amp;B248)))</f>
      </c>
      <c r="L248" s="12" t="str">
        <f>IF(J248="","",IF(J248&lt;&gt;"정상","비용 설정 필요",ROUND(G248*K248,0)))</f>
      </c>
      <c r="M248" s="12" t="str">
        <f>IF(J248="","",IF(J248&lt;&gt;"정상","비용 설정 필요",SUMIFS('3_채널별_비용설정'!$L$6:$L$55,'3_채널별_비용설정'!$C$6:$C$55,C248,'3_채널별_비용설정'!$D$6:$D$55,"&lt;="&amp;B248,'3_채널별_비용설정'!$O$6:$O$55,"&gt;="&amp;B248)))</f>
      </c>
      <c r="N248" s="12" t="str">
        <f>IF(J248="","",IF(J248&lt;&gt;"정상","비용 설정 필요",SUMIFS('3_채널별_비용설정'!$M$6:$M$55,'3_채널별_비용설정'!$C$6:$C$55,C248,'3_채널별_비용설정'!$D$6:$D$55,"&lt;="&amp;B248,'3_채널별_비용설정'!$O$6:$O$55,"&gt;="&amp;B248)))</f>
      </c>
      <c r="O248" s="12" t="str">
        <f>IF(J248="","",IF(J248&lt;&gt;"정상","비용 설정 필요",(D248*M248)+(E248*N248)))</f>
      </c>
      <c r="P248" s="12" t="str">
        <f>IF(J248="","",IF(J248&lt;&gt;"정상","비용 설정 필요",L248+O248+H248))</f>
      </c>
      <c r="Q248" s="13" t="str">
        <f>IF(J248="","",IF(J248&lt;&gt;"정상","비용 설정 필요",G248-P248))</f>
      </c>
      <c r="R248" s="14" t="str">
        <f>IF(J248="","",IF(J248&lt;&gt;"정상","비용 설정 필요",IFERROR(Q248/G248,0)))</f>
      </c>
    </row>
    <row r="249">
      <c r="B249" s="7"/>
      <c r="C249" s="5"/>
      <c r="D249" s="8"/>
      <c r="E249" s="8"/>
      <c r="F249" s="12" t="str">
        <f>IF(AND(B249="",C249=""),"",SUM(D249:E249))</f>
      </c>
      <c r="G249" s="8"/>
      <c r="H249" s="8"/>
      <c r="I249" s="6"/>
      <c r="J249" s="10" t="str">
        <f>IF(AND(B249="",C249=""),"",IF(OR(B249="",C249=""),"비용 설정 필요",IF(COUNTIFS('3_채널별_비용설정'!$C$6:$C$55,C249,'3_채널별_비용설정'!$D$6:$D$55,"&lt;="&amp;B249,'3_채널별_비용설정'!$O$6:$O$55,"&gt;="&amp;B249)=0,"비용 설정 필요",IF(COUNTIFS('3_채널별_비용설정'!$C$6:$C$55,C249,'3_채널별_비용설정'!$D$6:$D$55,"&lt;="&amp;B249,'3_채널별_비용설정'!$O$6:$O$55,"&gt;="&amp;B249)&gt;1,"기간 중복 확인","정상"))))</f>
      </c>
      <c r="K249" s="15" t="str">
        <f>IF(J249="","",IF(J249&lt;&gt;"정상","비용 설정 필요",SUMIFS('3_채널별_비용설정'!$F$6:$F$55,'3_채널별_비용설정'!$C$6:$C$55,C249,'3_채널별_비용설정'!$D$6:$D$55,"&lt;="&amp;B249,'3_채널별_비용설정'!$O$6:$O$55,"&gt;="&amp;B249)))</f>
      </c>
      <c r="L249" s="12" t="str">
        <f>IF(J249="","",IF(J249&lt;&gt;"정상","비용 설정 필요",ROUND(G249*K249,0)))</f>
      </c>
      <c r="M249" s="12" t="str">
        <f>IF(J249="","",IF(J249&lt;&gt;"정상","비용 설정 필요",SUMIFS('3_채널별_비용설정'!$L$6:$L$55,'3_채널별_비용설정'!$C$6:$C$55,C249,'3_채널별_비용설정'!$D$6:$D$55,"&lt;="&amp;B249,'3_채널별_비용설정'!$O$6:$O$55,"&gt;="&amp;B249)))</f>
      </c>
      <c r="N249" s="12" t="str">
        <f>IF(J249="","",IF(J249&lt;&gt;"정상","비용 설정 필요",SUMIFS('3_채널별_비용설정'!$M$6:$M$55,'3_채널별_비용설정'!$C$6:$C$55,C249,'3_채널별_비용설정'!$D$6:$D$55,"&lt;="&amp;B249,'3_채널별_비용설정'!$O$6:$O$55,"&gt;="&amp;B249)))</f>
      </c>
      <c r="O249" s="12" t="str">
        <f>IF(J249="","",IF(J249&lt;&gt;"정상","비용 설정 필요",(D249*M249)+(E249*N249)))</f>
      </c>
      <c r="P249" s="12" t="str">
        <f>IF(J249="","",IF(J249&lt;&gt;"정상","비용 설정 필요",L249+O249+H249))</f>
      </c>
      <c r="Q249" s="13" t="str">
        <f>IF(J249="","",IF(J249&lt;&gt;"정상","비용 설정 필요",G249-P249))</f>
      </c>
      <c r="R249" s="14" t="str">
        <f>IF(J249="","",IF(J249&lt;&gt;"정상","비용 설정 필요",IFERROR(Q249/G249,0)))</f>
      </c>
    </row>
    <row r="250">
      <c r="B250" s="7"/>
      <c r="C250" s="5"/>
      <c r="D250" s="8"/>
      <c r="E250" s="8"/>
      <c r="F250" s="12" t="str">
        <f>IF(AND(B250="",C250=""),"",SUM(D250:E250))</f>
      </c>
      <c r="G250" s="8"/>
      <c r="H250" s="8"/>
      <c r="I250" s="6"/>
      <c r="J250" s="10" t="str">
        <f>IF(AND(B250="",C250=""),"",IF(OR(B250="",C250=""),"비용 설정 필요",IF(COUNTIFS('3_채널별_비용설정'!$C$6:$C$55,C250,'3_채널별_비용설정'!$D$6:$D$55,"&lt;="&amp;B250,'3_채널별_비용설정'!$O$6:$O$55,"&gt;="&amp;B250)=0,"비용 설정 필요",IF(COUNTIFS('3_채널별_비용설정'!$C$6:$C$55,C250,'3_채널별_비용설정'!$D$6:$D$55,"&lt;="&amp;B250,'3_채널별_비용설정'!$O$6:$O$55,"&gt;="&amp;B250)&gt;1,"기간 중복 확인","정상"))))</f>
      </c>
      <c r="K250" s="15" t="str">
        <f>IF(J250="","",IF(J250&lt;&gt;"정상","비용 설정 필요",SUMIFS('3_채널별_비용설정'!$F$6:$F$55,'3_채널별_비용설정'!$C$6:$C$55,C250,'3_채널별_비용설정'!$D$6:$D$55,"&lt;="&amp;B250,'3_채널별_비용설정'!$O$6:$O$55,"&gt;="&amp;B250)))</f>
      </c>
      <c r="L250" s="12" t="str">
        <f>IF(J250="","",IF(J250&lt;&gt;"정상","비용 설정 필요",ROUND(G250*K250,0)))</f>
      </c>
      <c r="M250" s="12" t="str">
        <f>IF(J250="","",IF(J250&lt;&gt;"정상","비용 설정 필요",SUMIFS('3_채널별_비용설정'!$L$6:$L$55,'3_채널별_비용설정'!$C$6:$C$55,C250,'3_채널별_비용설정'!$D$6:$D$55,"&lt;="&amp;B250,'3_채널별_비용설정'!$O$6:$O$55,"&gt;="&amp;B250)))</f>
      </c>
      <c r="N250" s="12" t="str">
        <f>IF(J250="","",IF(J250&lt;&gt;"정상","비용 설정 필요",SUMIFS('3_채널별_비용설정'!$M$6:$M$55,'3_채널별_비용설정'!$C$6:$C$55,C250,'3_채널별_비용설정'!$D$6:$D$55,"&lt;="&amp;B250,'3_채널별_비용설정'!$O$6:$O$55,"&gt;="&amp;B250)))</f>
      </c>
      <c r="O250" s="12" t="str">
        <f>IF(J250="","",IF(J250&lt;&gt;"정상","비용 설정 필요",(D250*M250)+(E250*N250)))</f>
      </c>
      <c r="P250" s="12" t="str">
        <f>IF(J250="","",IF(J250&lt;&gt;"정상","비용 설정 필요",L250+O250+H250))</f>
      </c>
      <c r="Q250" s="13" t="str">
        <f>IF(J250="","",IF(J250&lt;&gt;"정상","비용 설정 필요",G250-P250))</f>
      </c>
      <c r="R250" s="14" t="str">
        <f>IF(J250="","",IF(J250&lt;&gt;"정상","비용 설정 필요",IFERROR(Q250/G250,0)))</f>
      </c>
    </row>
    <row r="251">
      <c r="B251" s="7"/>
      <c r="C251" s="5"/>
      <c r="D251" s="8"/>
      <c r="E251" s="8"/>
      <c r="F251" s="12" t="str">
        <f>IF(AND(B251="",C251=""),"",SUM(D251:E251))</f>
      </c>
      <c r="G251" s="8"/>
      <c r="H251" s="8"/>
      <c r="I251" s="6"/>
      <c r="J251" s="10" t="str">
        <f>IF(AND(B251="",C251=""),"",IF(OR(B251="",C251=""),"비용 설정 필요",IF(COUNTIFS('3_채널별_비용설정'!$C$6:$C$55,C251,'3_채널별_비용설정'!$D$6:$D$55,"&lt;="&amp;B251,'3_채널별_비용설정'!$O$6:$O$55,"&gt;="&amp;B251)=0,"비용 설정 필요",IF(COUNTIFS('3_채널별_비용설정'!$C$6:$C$55,C251,'3_채널별_비용설정'!$D$6:$D$55,"&lt;="&amp;B251,'3_채널별_비용설정'!$O$6:$O$55,"&gt;="&amp;B251)&gt;1,"기간 중복 확인","정상"))))</f>
      </c>
      <c r="K251" s="15" t="str">
        <f>IF(J251="","",IF(J251&lt;&gt;"정상","비용 설정 필요",SUMIFS('3_채널별_비용설정'!$F$6:$F$55,'3_채널별_비용설정'!$C$6:$C$55,C251,'3_채널별_비용설정'!$D$6:$D$55,"&lt;="&amp;B251,'3_채널별_비용설정'!$O$6:$O$55,"&gt;="&amp;B251)))</f>
      </c>
      <c r="L251" s="12" t="str">
        <f>IF(J251="","",IF(J251&lt;&gt;"정상","비용 설정 필요",ROUND(G251*K251,0)))</f>
      </c>
      <c r="M251" s="12" t="str">
        <f>IF(J251="","",IF(J251&lt;&gt;"정상","비용 설정 필요",SUMIFS('3_채널별_비용설정'!$L$6:$L$55,'3_채널별_비용설정'!$C$6:$C$55,C251,'3_채널별_비용설정'!$D$6:$D$55,"&lt;="&amp;B251,'3_채널별_비용설정'!$O$6:$O$55,"&gt;="&amp;B251)))</f>
      </c>
      <c r="N251" s="12" t="str">
        <f>IF(J251="","",IF(J251&lt;&gt;"정상","비용 설정 필요",SUMIFS('3_채널별_비용설정'!$M$6:$M$55,'3_채널별_비용설정'!$C$6:$C$55,C251,'3_채널별_비용설정'!$D$6:$D$55,"&lt;="&amp;B251,'3_채널별_비용설정'!$O$6:$O$55,"&gt;="&amp;B251)))</f>
      </c>
      <c r="O251" s="12" t="str">
        <f>IF(J251="","",IF(J251&lt;&gt;"정상","비용 설정 필요",(D251*M251)+(E251*N251)))</f>
      </c>
      <c r="P251" s="12" t="str">
        <f>IF(J251="","",IF(J251&lt;&gt;"정상","비용 설정 필요",L251+O251+H251))</f>
      </c>
      <c r="Q251" s="13" t="str">
        <f>IF(J251="","",IF(J251&lt;&gt;"정상","비용 설정 필요",G251-P251))</f>
      </c>
      <c r="R251" s="14" t="str">
        <f>IF(J251="","",IF(J251&lt;&gt;"정상","비용 설정 필요",IFERROR(Q251/G251,0)))</f>
      </c>
    </row>
    <row r="252">
      <c r="B252" s="7"/>
      <c r="C252" s="5"/>
      <c r="D252" s="8"/>
      <c r="E252" s="8"/>
      <c r="F252" s="12" t="str">
        <f>IF(AND(B252="",C252=""),"",SUM(D252:E252))</f>
      </c>
      <c r="G252" s="8"/>
      <c r="H252" s="8"/>
      <c r="I252" s="6"/>
      <c r="J252" s="10" t="str">
        <f>IF(AND(B252="",C252=""),"",IF(OR(B252="",C252=""),"비용 설정 필요",IF(COUNTIFS('3_채널별_비용설정'!$C$6:$C$55,C252,'3_채널별_비용설정'!$D$6:$D$55,"&lt;="&amp;B252,'3_채널별_비용설정'!$O$6:$O$55,"&gt;="&amp;B252)=0,"비용 설정 필요",IF(COUNTIFS('3_채널별_비용설정'!$C$6:$C$55,C252,'3_채널별_비용설정'!$D$6:$D$55,"&lt;="&amp;B252,'3_채널별_비용설정'!$O$6:$O$55,"&gt;="&amp;B252)&gt;1,"기간 중복 확인","정상"))))</f>
      </c>
      <c r="K252" s="15" t="str">
        <f>IF(J252="","",IF(J252&lt;&gt;"정상","비용 설정 필요",SUMIFS('3_채널별_비용설정'!$F$6:$F$55,'3_채널별_비용설정'!$C$6:$C$55,C252,'3_채널별_비용설정'!$D$6:$D$55,"&lt;="&amp;B252,'3_채널별_비용설정'!$O$6:$O$55,"&gt;="&amp;B252)))</f>
      </c>
      <c r="L252" s="12" t="str">
        <f>IF(J252="","",IF(J252&lt;&gt;"정상","비용 설정 필요",ROUND(G252*K252,0)))</f>
      </c>
      <c r="M252" s="12" t="str">
        <f>IF(J252="","",IF(J252&lt;&gt;"정상","비용 설정 필요",SUMIFS('3_채널별_비용설정'!$L$6:$L$55,'3_채널별_비용설정'!$C$6:$C$55,C252,'3_채널별_비용설정'!$D$6:$D$55,"&lt;="&amp;B252,'3_채널별_비용설정'!$O$6:$O$55,"&gt;="&amp;B252)))</f>
      </c>
      <c r="N252" s="12" t="str">
        <f>IF(J252="","",IF(J252&lt;&gt;"정상","비용 설정 필요",SUMIFS('3_채널별_비용설정'!$M$6:$M$55,'3_채널별_비용설정'!$C$6:$C$55,C252,'3_채널별_비용설정'!$D$6:$D$55,"&lt;="&amp;B252,'3_채널별_비용설정'!$O$6:$O$55,"&gt;="&amp;B252)))</f>
      </c>
      <c r="O252" s="12" t="str">
        <f>IF(J252="","",IF(J252&lt;&gt;"정상","비용 설정 필요",(D252*M252)+(E252*N252)))</f>
      </c>
      <c r="P252" s="12" t="str">
        <f>IF(J252="","",IF(J252&lt;&gt;"정상","비용 설정 필요",L252+O252+H252))</f>
      </c>
      <c r="Q252" s="13" t="str">
        <f>IF(J252="","",IF(J252&lt;&gt;"정상","비용 설정 필요",G252-P252))</f>
      </c>
      <c r="R252" s="14" t="str">
        <f>IF(J252="","",IF(J252&lt;&gt;"정상","비용 설정 필요",IFERROR(Q252/G252,0)))</f>
      </c>
    </row>
    <row r="253">
      <c r="B253" s="7"/>
      <c r="C253" s="5"/>
      <c r="D253" s="8"/>
      <c r="E253" s="8"/>
      <c r="F253" s="12" t="str">
        <f>IF(AND(B253="",C253=""),"",SUM(D253:E253))</f>
      </c>
      <c r="G253" s="8"/>
      <c r="H253" s="8"/>
      <c r="I253" s="6"/>
      <c r="J253" s="10" t="str">
        <f>IF(AND(B253="",C253=""),"",IF(OR(B253="",C253=""),"비용 설정 필요",IF(COUNTIFS('3_채널별_비용설정'!$C$6:$C$55,C253,'3_채널별_비용설정'!$D$6:$D$55,"&lt;="&amp;B253,'3_채널별_비용설정'!$O$6:$O$55,"&gt;="&amp;B253)=0,"비용 설정 필요",IF(COUNTIFS('3_채널별_비용설정'!$C$6:$C$55,C253,'3_채널별_비용설정'!$D$6:$D$55,"&lt;="&amp;B253,'3_채널별_비용설정'!$O$6:$O$55,"&gt;="&amp;B253)&gt;1,"기간 중복 확인","정상"))))</f>
      </c>
      <c r="K253" s="15" t="str">
        <f>IF(J253="","",IF(J253&lt;&gt;"정상","비용 설정 필요",SUMIFS('3_채널별_비용설정'!$F$6:$F$55,'3_채널별_비용설정'!$C$6:$C$55,C253,'3_채널별_비용설정'!$D$6:$D$55,"&lt;="&amp;B253,'3_채널별_비용설정'!$O$6:$O$55,"&gt;="&amp;B253)))</f>
      </c>
      <c r="L253" s="12" t="str">
        <f>IF(J253="","",IF(J253&lt;&gt;"정상","비용 설정 필요",ROUND(G253*K253,0)))</f>
      </c>
      <c r="M253" s="12" t="str">
        <f>IF(J253="","",IF(J253&lt;&gt;"정상","비용 설정 필요",SUMIFS('3_채널별_비용설정'!$L$6:$L$55,'3_채널별_비용설정'!$C$6:$C$55,C253,'3_채널별_비용설정'!$D$6:$D$55,"&lt;="&amp;B253,'3_채널별_비용설정'!$O$6:$O$55,"&gt;="&amp;B253)))</f>
      </c>
      <c r="N253" s="12" t="str">
        <f>IF(J253="","",IF(J253&lt;&gt;"정상","비용 설정 필요",SUMIFS('3_채널별_비용설정'!$M$6:$M$55,'3_채널별_비용설정'!$C$6:$C$55,C253,'3_채널별_비용설정'!$D$6:$D$55,"&lt;="&amp;B253,'3_채널별_비용설정'!$O$6:$O$55,"&gt;="&amp;B253)))</f>
      </c>
      <c r="O253" s="12" t="str">
        <f>IF(J253="","",IF(J253&lt;&gt;"정상","비용 설정 필요",(D253*M253)+(E253*N253)))</f>
      </c>
      <c r="P253" s="12" t="str">
        <f>IF(J253="","",IF(J253&lt;&gt;"정상","비용 설정 필요",L253+O253+H253))</f>
      </c>
      <c r="Q253" s="13" t="str">
        <f>IF(J253="","",IF(J253&lt;&gt;"정상","비용 설정 필요",G253-P253))</f>
      </c>
      <c r="R253" s="14" t="str">
        <f>IF(J253="","",IF(J253&lt;&gt;"정상","비용 설정 필요",IFERROR(Q253/G253,0)))</f>
      </c>
    </row>
    <row r="254">
      <c r="B254" s="7"/>
      <c r="C254" s="5"/>
      <c r="D254" s="8"/>
      <c r="E254" s="8"/>
      <c r="F254" s="12" t="str">
        <f>IF(AND(B254="",C254=""),"",SUM(D254:E254))</f>
      </c>
      <c r="G254" s="8"/>
      <c r="H254" s="8"/>
      <c r="I254" s="6"/>
      <c r="J254" s="10" t="str">
        <f>IF(AND(B254="",C254=""),"",IF(OR(B254="",C254=""),"비용 설정 필요",IF(COUNTIFS('3_채널별_비용설정'!$C$6:$C$55,C254,'3_채널별_비용설정'!$D$6:$D$55,"&lt;="&amp;B254,'3_채널별_비용설정'!$O$6:$O$55,"&gt;="&amp;B254)=0,"비용 설정 필요",IF(COUNTIFS('3_채널별_비용설정'!$C$6:$C$55,C254,'3_채널별_비용설정'!$D$6:$D$55,"&lt;="&amp;B254,'3_채널별_비용설정'!$O$6:$O$55,"&gt;="&amp;B254)&gt;1,"기간 중복 확인","정상"))))</f>
      </c>
      <c r="K254" s="15" t="str">
        <f>IF(J254="","",IF(J254&lt;&gt;"정상","비용 설정 필요",SUMIFS('3_채널별_비용설정'!$F$6:$F$55,'3_채널별_비용설정'!$C$6:$C$55,C254,'3_채널별_비용설정'!$D$6:$D$55,"&lt;="&amp;B254,'3_채널별_비용설정'!$O$6:$O$55,"&gt;="&amp;B254)))</f>
      </c>
      <c r="L254" s="12" t="str">
        <f>IF(J254="","",IF(J254&lt;&gt;"정상","비용 설정 필요",ROUND(G254*K254,0)))</f>
      </c>
      <c r="M254" s="12" t="str">
        <f>IF(J254="","",IF(J254&lt;&gt;"정상","비용 설정 필요",SUMIFS('3_채널별_비용설정'!$L$6:$L$55,'3_채널별_비용설정'!$C$6:$C$55,C254,'3_채널별_비용설정'!$D$6:$D$55,"&lt;="&amp;B254,'3_채널별_비용설정'!$O$6:$O$55,"&gt;="&amp;B254)))</f>
      </c>
      <c r="N254" s="12" t="str">
        <f>IF(J254="","",IF(J254&lt;&gt;"정상","비용 설정 필요",SUMIFS('3_채널별_비용설정'!$M$6:$M$55,'3_채널별_비용설정'!$C$6:$C$55,C254,'3_채널별_비용설정'!$D$6:$D$55,"&lt;="&amp;B254,'3_채널별_비용설정'!$O$6:$O$55,"&gt;="&amp;B254)))</f>
      </c>
      <c r="O254" s="12" t="str">
        <f>IF(J254="","",IF(J254&lt;&gt;"정상","비용 설정 필요",(D254*M254)+(E254*N254)))</f>
      </c>
      <c r="P254" s="12" t="str">
        <f>IF(J254="","",IF(J254&lt;&gt;"정상","비용 설정 필요",L254+O254+H254))</f>
      </c>
      <c r="Q254" s="13" t="str">
        <f>IF(J254="","",IF(J254&lt;&gt;"정상","비용 설정 필요",G254-P254))</f>
      </c>
      <c r="R254" s="14" t="str">
        <f>IF(J254="","",IF(J254&lt;&gt;"정상","비용 설정 필요",IFERROR(Q254/G254,0)))</f>
      </c>
    </row>
    <row r="255">
      <c r="B255" s="7"/>
      <c r="C255" s="5"/>
      <c r="D255" s="8"/>
      <c r="E255" s="8"/>
      <c r="F255" s="12" t="str">
        <f>IF(AND(B255="",C255=""),"",SUM(D255:E255))</f>
      </c>
      <c r="G255" s="8"/>
      <c r="H255" s="8"/>
      <c r="I255" s="6"/>
      <c r="J255" s="10" t="str">
        <f>IF(AND(B255="",C255=""),"",IF(OR(B255="",C255=""),"비용 설정 필요",IF(COUNTIFS('3_채널별_비용설정'!$C$6:$C$55,C255,'3_채널별_비용설정'!$D$6:$D$55,"&lt;="&amp;B255,'3_채널별_비용설정'!$O$6:$O$55,"&gt;="&amp;B255)=0,"비용 설정 필요",IF(COUNTIFS('3_채널별_비용설정'!$C$6:$C$55,C255,'3_채널별_비용설정'!$D$6:$D$55,"&lt;="&amp;B255,'3_채널별_비용설정'!$O$6:$O$55,"&gt;="&amp;B255)&gt;1,"기간 중복 확인","정상"))))</f>
      </c>
      <c r="K255" s="15" t="str">
        <f>IF(J255="","",IF(J255&lt;&gt;"정상","비용 설정 필요",SUMIFS('3_채널별_비용설정'!$F$6:$F$55,'3_채널별_비용설정'!$C$6:$C$55,C255,'3_채널별_비용설정'!$D$6:$D$55,"&lt;="&amp;B255,'3_채널별_비용설정'!$O$6:$O$55,"&gt;="&amp;B255)))</f>
      </c>
      <c r="L255" s="12" t="str">
        <f>IF(J255="","",IF(J255&lt;&gt;"정상","비용 설정 필요",ROUND(G255*K255,0)))</f>
      </c>
      <c r="M255" s="12" t="str">
        <f>IF(J255="","",IF(J255&lt;&gt;"정상","비용 설정 필요",SUMIFS('3_채널별_비용설정'!$L$6:$L$55,'3_채널별_비용설정'!$C$6:$C$55,C255,'3_채널별_비용설정'!$D$6:$D$55,"&lt;="&amp;B255,'3_채널별_비용설정'!$O$6:$O$55,"&gt;="&amp;B255)))</f>
      </c>
      <c r="N255" s="12" t="str">
        <f>IF(J255="","",IF(J255&lt;&gt;"정상","비용 설정 필요",SUMIFS('3_채널별_비용설정'!$M$6:$M$55,'3_채널별_비용설정'!$C$6:$C$55,C255,'3_채널별_비용설정'!$D$6:$D$55,"&lt;="&amp;B255,'3_채널별_비용설정'!$O$6:$O$55,"&gt;="&amp;B255)))</f>
      </c>
      <c r="O255" s="12" t="str">
        <f>IF(J255="","",IF(J255&lt;&gt;"정상","비용 설정 필요",(D255*M255)+(E255*N255)))</f>
      </c>
      <c r="P255" s="12" t="str">
        <f>IF(J255="","",IF(J255&lt;&gt;"정상","비용 설정 필요",L255+O255+H255))</f>
      </c>
      <c r="Q255" s="13" t="str">
        <f>IF(J255="","",IF(J255&lt;&gt;"정상","비용 설정 필요",G255-P255))</f>
      </c>
      <c r="R255" s="14" t="str">
        <f>IF(J255="","",IF(J255&lt;&gt;"정상","비용 설정 필요",IFERROR(Q255/G255,0)))</f>
      </c>
    </row>
    <row r="256">
      <c r="B256" s="7"/>
      <c r="C256" s="5"/>
      <c r="D256" s="8"/>
      <c r="E256" s="8"/>
      <c r="F256" s="12" t="str">
        <f>IF(AND(B256="",C256=""),"",SUM(D256:E256))</f>
      </c>
      <c r="G256" s="8"/>
      <c r="H256" s="8"/>
      <c r="I256" s="6"/>
      <c r="J256" s="10" t="str">
        <f>IF(AND(B256="",C256=""),"",IF(OR(B256="",C256=""),"비용 설정 필요",IF(COUNTIFS('3_채널별_비용설정'!$C$6:$C$55,C256,'3_채널별_비용설정'!$D$6:$D$55,"&lt;="&amp;B256,'3_채널별_비용설정'!$O$6:$O$55,"&gt;="&amp;B256)=0,"비용 설정 필요",IF(COUNTIFS('3_채널별_비용설정'!$C$6:$C$55,C256,'3_채널별_비용설정'!$D$6:$D$55,"&lt;="&amp;B256,'3_채널별_비용설정'!$O$6:$O$55,"&gt;="&amp;B256)&gt;1,"기간 중복 확인","정상"))))</f>
      </c>
      <c r="K256" s="15" t="str">
        <f>IF(J256="","",IF(J256&lt;&gt;"정상","비용 설정 필요",SUMIFS('3_채널별_비용설정'!$F$6:$F$55,'3_채널별_비용설정'!$C$6:$C$55,C256,'3_채널별_비용설정'!$D$6:$D$55,"&lt;="&amp;B256,'3_채널별_비용설정'!$O$6:$O$55,"&gt;="&amp;B256)))</f>
      </c>
      <c r="L256" s="12" t="str">
        <f>IF(J256="","",IF(J256&lt;&gt;"정상","비용 설정 필요",ROUND(G256*K256,0)))</f>
      </c>
      <c r="M256" s="12" t="str">
        <f>IF(J256="","",IF(J256&lt;&gt;"정상","비용 설정 필요",SUMIFS('3_채널별_비용설정'!$L$6:$L$55,'3_채널별_비용설정'!$C$6:$C$55,C256,'3_채널별_비용설정'!$D$6:$D$55,"&lt;="&amp;B256,'3_채널별_비용설정'!$O$6:$O$55,"&gt;="&amp;B256)))</f>
      </c>
      <c r="N256" s="12" t="str">
        <f>IF(J256="","",IF(J256&lt;&gt;"정상","비용 설정 필요",SUMIFS('3_채널별_비용설정'!$M$6:$M$55,'3_채널별_비용설정'!$C$6:$C$55,C256,'3_채널별_비용설정'!$D$6:$D$55,"&lt;="&amp;B256,'3_채널별_비용설정'!$O$6:$O$55,"&gt;="&amp;B256)))</f>
      </c>
      <c r="O256" s="12" t="str">
        <f>IF(J256="","",IF(J256&lt;&gt;"정상","비용 설정 필요",(D256*M256)+(E256*N256)))</f>
      </c>
      <c r="P256" s="12" t="str">
        <f>IF(J256="","",IF(J256&lt;&gt;"정상","비용 설정 필요",L256+O256+H256))</f>
      </c>
      <c r="Q256" s="13" t="str">
        <f>IF(J256="","",IF(J256&lt;&gt;"정상","비용 설정 필요",G256-P256))</f>
      </c>
      <c r="R256" s="14" t="str">
        <f>IF(J256="","",IF(J256&lt;&gt;"정상","비용 설정 필요",IFERROR(Q256/G256,0)))</f>
      </c>
    </row>
    <row r="257">
      <c r="B257" s="7"/>
      <c r="C257" s="5"/>
      <c r="D257" s="8"/>
      <c r="E257" s="8"/>
      <c r="F257" s="12" t="str">
        <f>IF(AND(B257="",C257=""),"",SUM(D257:E257))</f>
      </c>
      <c r="G257" s="8"/>
      <c r="H257" s="8"/>
      <c r="I257" s="6"/>
      <c r="J257" s="10" t="str">
        <f>IF(AND(B257="",C257=""),"",IF(OR(B257="",C257=""),"비용 설정 필요",IF(COUNTIFS('3_채널별_비용설정'!$C$6:$C$55,C257,'3_채널별_비용설정'!$D$6:$D$55,"&lt;="&amp;B257,'3_채널별_비용설정'!$O$6:$O$55,"&gt;="&amp;B257)=0,"비용 설정 필요",IF(COUNTIFS('3_채널별_비용설정'!$C$6:$C$55,C257,'3_채널별_비용설정'!$D$6:$D$55,"&lt;="&amp;B257,'3_채널별_비용설정'!$O$6:$O$55,"&gt;="&amp;B257)&gt;1,"기간 중복 확인","정상"))))</f>
      </c>
      <c r="K257" s="15" t="str">
        <f>IF(J257="","",IF(J257&lt;&gt;"정상","비용 설정 필요",SUMIFS('3_채널별_비용설정'!$F$6:$F$55,'3_채널별_비용설정'!$C$6:$C$55,C257,'3_채널별_비용설정'!$D$6:$D$55,"&lt;="&amp;B257,'3_채널별_비용설정'!$O$6:$O$55,"&gt;="&amp;B257)))</f>
      </c>
      <c r="L257" s="12" t="str">
        <f>IF(J257="","",IF(J257&lt;&gt;"정상","비용 설정 필요",ROUND(G257*K257,0)))</f>
      </c>
      <c r="M257" s="12" t="str">
        <f>IF(J257="","",IF(J257&lt;&gt;"정상","비용 설정 필요",SUMIFS('3_채널별_비용설정'!$L$6:$L$55,'3_채널별_비용설정'!$C$6:$C$55,C257,'3_채널별_비용설정'!$D$6:$D$55,"&lt;="&amp;B257,'3_채널별_비용설정'!$O$6:$O$55,"&gt;="&amp;B257)))</f>
      </c>
      <c r="N257" s="12" t="str">
        <f>IF(J257="","",IF(J257&lt;&gt;"정상","비용 설정 필요",SUMIFS('3_채널별_비용설정'!$M$6:$M$55,'3_채널별_비용설정'!$C$6:$C$55,C257,'3_채널별_비용설정'!$D$6:$D$55,"&lt;="&amp;B257,'3_채널별_비용설정'!$O$6:$O$55,"&gt;="&amp;B257)))</f>
      </c>
      <c r="O257" s="12" t="str">
        <f>IF(J257="","",IF(J257&lt;&gt;"정상","비용 설정 필요",(D257*M257)+(E257*N257)))</f>
      </c>
      <c r="P257" s="12" t="str">
        <f>IF(J257="","",IF(J257&lt;&gt;"정상","비용 설정 필요",L257+O257+H257))</f>
      </c>
      <c r="Q257" s="13" t="str">
        <f>IF(J257="","",IF(J257&lt;&gt;"정상","비용 설정 필요",G257-P257))</f>
      </c>
      <c r="R257" s="14" t="str">
        <f>IF(J257="","",IF(J257&lt;&gt;"정상","비용 설정 필요",IFERROR(Q257/G257,0)))</f>
      </c>
    </row>
    <row r="258">
      <c r="B258" s="7"/>
      <c r="C258" s="5"/>
      <c r="D258" s="8"/>
      <c r="E258" s="8"/>
      <c r="F258" s="12" t="str">
        <f>IF(AND(B258="",C258=""),"",SUM(D258:E258))</f>
      </c>
      <c r="G258" s="8"/>
      <c r="H258" s="8"/>
      <c r="I258" s="6"/>
      <c r="J258" s="10" t="str">
        <f>IF(AND(B258="",C258=""),"",IF(OR(B258="",C258=""),"비용 설정 필요",IF(COUNTIFS('3_채널별_비용설정'!$C$6:$C$55,C258,'3_채널별_비용설정'!$D$6:$D$55,"&lt;="&amp;B258,'3_채널별_비용설정'!$O$6:$O$55,"&gt;="&amp;B258)=0,"비용 설정 필요",IF(COUNTIFS('3_채널별_비용설정'!$C$6:$C$55,C258,'3_채널별_비용설정'!$D$6:$D$55,"&lt;="&amp;B258,'3_채널별_비용설정'!$O$6:$O$55,"&gt;="&amp;B258)&gt;1,"기간 중복 확인","정상"))))</f>
      </c>
      <c r="K258" s="15" t="str">
        <f>IF(J258="","",IF(J258&lt;&gt;"정상","비용 설정 필요",SUMIFS('3_채널별_비용설정'!$F$6:$F$55,'3_채널별_비용설정'!$C$6:$C$55,C258,'3_채널별_비용설정'!$D$6:$D$55,"&lt;="&amp;B258,'3_채널별_비용설정'!$O$6:$O$55,"&gt;="&amp;B258)))</f>
      </c>
      <c r="L258" s="12" t="str">
        <f>IF(J258="","",IF(J258&lt;&gt;"정상","비용 설정 필요",ROUND(G258*K258,0)))</f>
      </c>
      <c r="M258" s="12" t="str">
        <f>IF(J258="","",IF(J258&lt;&gt;"정상","비용 설정 필요",SUMIFS('3_채널별_비용설정'!$L$6:$L$55,'3_채널별_비용설정'!$C$6:$C$55,C258,'3_채널별_비용설정'!$D$6:$D$55,"&lt;="&amp;B258,'3_채널별_비용설정'!$O$6:$O$55,"&gt;="&amp;B258)))</f>
      </c>
      <c r="N258" s="12" t="str">
        <f>IF(J258="","",IF(J258&lt;&gt;"정상","비용 설정 필요",SUMIFS('3_채널별_비용설정'!$M$6:$M$55,'3_채널별_비용설정'!$C$6:$C$55,C258,'3_채널별_비용설정'!$D$6:$D$55,"&lt;="&amp;B258,'3_채널별_비용설정'!$O$6:$O$55,"&gt;="&amp;B258)))</f>
      </c>
      <c r="O258" s="12" t="str">
        <f>IF(J258="","",IF(J258&lt;&gt;"정상","비용 설정 필요",(D258*M258)+(E258*N258)))</f>
      </c>
      <c r="P258" s="12" t="str">
        <f>IF(J258="","",IF(J258&lt;&gt;"정상","비용 설정 필요",L258+O258+H258))</f>
      </c>
      <c r="Q258" s="13" t="str">
        <f>IF(J258="","",IF(J258&lt;&gt;"정상","비용 설정 필요",G258-P258))</f>
      </c>
      <c r="R258" s="14" t="str">
        <f>IF(J258="","",IF(J258&lt;&gt;"정상","비용 설정 필요",IFERROR(Q258/G258,0)))</f>
      </c>
    </row>
    <row r="259">
      <c r="B259" s="7"/>
      <c r="C259" s="5"/>
      <c r="D259" s="8"/>
      <c r="E259" s="8"/>
      <c r="F259" s="12" t="str">
        <f>IF(AND(B259="",C259=""),"",SUM(D259:E259))</f>
      </c>
      <c r="G259" s="8"/>
      <c r="H259" s="8"/>
      <c r="I259" s="6"/>
      <c r="J259" s="10" t="str">
        <f>IF(AND(B259="",C259=""),"",IF(OR(B259="",C259=""),"비용 설정 필요",IF(COUNTIFS('3_채널별_비용설정'!$C$6:$C$55,C259,'3_채널별_비용설정'!$D$6:$D$55,"&lt;="&amp;B259,'3_채널별_비용설정'!$O$6:$O$55,"&gt;="&amp;B259)=0,"비용 설정 필요",IF(COUNTIFS('3_채널별_비용설정'!$C$6:$C$55,C259,'3_채널별_비용설정'!$D$6:$D$55,"&lt;="&amp;B259,'3_채널별_비용설정'!$O$6:$O$55,"&gt;="&amp;B259)&gt;1,"기간 중복 확인","정상"))))</f>
      </c>
      <c r="K259" s="15" t="str">
        <f>IF(J259="","",IF(J259&lt;&gt;"정상","비용 설정 필요",SUMIFS('3_채널별_비용설정'!$F$6:$F$55,'3_채널별_비용설정'!$C$6:$C$55,C259,'3_채널별_비용설정'!$D$6:$D$55,"&lt;="&amp;B259,'3_채널별_비용설정'!$O$6:$O$55,"&gt;="&amp;B259)))</f>
      </c>
      <c r="L259" s="12" t="str">
        <f>IF(J259="","",IF(J259&lt;&gt;"정상","비용 설정 필요",ROUND(G259*K259,0)))</f>
      </c>
      <c r="M259" s="12" t="str">
        <f>IF(J259="","",IF(J259&lt;&gt;"정상","비용 설정 필요",SUMIFS('3_채널별_비용설정'!$L$6:$L$55,'3_채널별_비용설정'!$C$6:$C$55,C259,'3_채널별_비용설정'!$D$6:$D$55,"&lt;="&amp;B259,'3_채널별_비용설정'!$O$6:$O$55,"&gt;="&amp;B259)))</f>
      </c>
      <c r="N259" s="12" t="str">
        <f>IF(J259="","",IF(J259&lt;&gt;"정상","비용 설정 필요",SUMIFS('3_채널별_비용설정'!$M$6:$M$55,'3_채널별_비용설정'!$C$6:$C$55,C259,'3_채널별_비용설정'!$D$6:$D$55,"&lt;="&amp;B259,'3_채널별_비용설정'!$O$6:$O$55,"&gt;="&amp;B259)))</f>
      </c>
      <c r="O259" s="12" t="str">
        <f>IF(J259="","",IF(J259&lt;&gt;"정상","비용 설정 필요",(D259*M259)+(E259*N259)))</f>
      </c>
      <c r="P259" s="12" t="str">
        <f>IF(J259="","",IF(J259&lt;&gt;"정상","비용 설정 필요",L259+O259+H259))</f>
      </c>
      <c r="Q259" s="13" t="str">
        <f>IF(J259="","",IF(J259&lt;&gt;"정상","비용 설정 필요",G259-P259))</f>
      </c>
      <c r="R259" s="14" t="str">
        <f>IF(J259="","",IF(J259&lt;&gt;"정상","비용 설정 필요",IFERROR(Q259/G259,0)))</f>
      </c>
    </row>
    <row r="260">
      <c r="B260" s="7"/>
      <c r="C260" s="5"/>
      <c r="D260" s="8"/>
      <c r="E260" s="8"/>
      <c r="F260" s="12" t="str">
        <f>IF(AND(B260="",C260=""),"",SUM(D260:E260))</f>
      </c>
      <c r="G260" s="8"/>
      <c r="H260" s="8"/>
      <c r="I260" s="6"/>
      <c r="J260" s="10" t="str">
        <f>IF(AND(B260="",C260=""),"",IF(OR(B260="",C260=""),"비용 설정 필요",IF(COUNTIFS('3_채널별_비용설정'!$C$6:$C$55,C260,'3_채널별_비용설정'!$D$6:$D$55,"&lt;="&amp;B260,'3_채널별_비용설정'!$O$6:$O$55,"&gt;="&amp;B260)=0,"비용 설정 필요",IF(COUNTIFS('3_채널별_비용설정'!$C$6:$C$55,C260,'3_채널별_비용설정'!$D$6:$D$55,"&lt;="&amp;B260,'3_채널별_비용설정'!$O$6:$O$55,"&gt;="&amp;B260)&gt;1,"기간 중복 확인","정상"))))</f>
      </c>
      <c r="K260" s="15" t="str">
        <f>IF(J260="","",IF(J260&lt;&gt;"정상","비용 설정 필요",SUMIFS('3_채널별_비용설정'!$F$6:$F$55,'3_채널별_비용설정'!$C$6:$C$55,C260,'3_채널별_비용설정'!$D$6:$D$55,"&lt;="&amp;B260,'3_채널별_비용설정'!$O$6:$O$55,"&gt;="&amp;B260)))</f>
      </c>
      <c r="L260" s="12" t="str">
        <f>IF(J260="","",IF(J260&lt;&gt;"정상","비용 설정 필요",ROUND(G260*K260,0)))</f>
      </c>
      <c r="M260" s="12" t="str">
        <f>IF(J260="","",IF(J260&lt;&gt;"정상","비용 설정 필요",SUMIFS('3_채널별_비용설정'!$L$6:$L$55,'3_채널별_비용설정'!$C$6:$C$55,C260,'3_채널별_비용설정'!$D$6:$D$55,"&lt;="&amp;B260,'3_채널별_비용설정'!$O$6:$O$55,"&gt;="&amp;B260)))</f>
      </c>
      <c r="N260" s="12" t="str">
        <f>IF(J260="","",IF(J260&lt;&gt;"정상","비용 설정 필요",SUMIFS('3_채널별_비용설정'!$M$6:$M$55,'3_채널별_비용설정'!$C$6:$C$55,C260,'3_채널별_비용설정'!$D$6:$D$55,"&lt;="&amp;B260,'3_채널별_비용설정'!$O$6:$O$55,"&gt;="&amp;B260)))</f>
      </c>
      <c r="O260" s="12" t="str">
        <f>IF(J260="","",IF(J260&lt;&gt;"정상","비용 설정 필요",(D260*M260)+(E260*N260)))</f>
      </c>
      <c r="P260" s="12" t="str">
        <f>IF(J260="","",IF(J260&lt;&gt;"정상","비용 설정 필요",L260+O260+H260))</f>
      </c>
      <c r="Q260" s="13" t="str">
        <f>IF(J260="","",IF(J260&lt;&gt;"정상","비용 설정 필요",G260-P260))</f>
      </c>
      <c r="R260" s="14" t="str">
        <f>IF(J260="","",IF(J260&lt;&gt;"정상","비용 설정 필요",IFERROR(Q260/G260,0)))</f>
      </c>
    </row>
    <row r="261">
      <c r="B261" s="7"/>
      <c r="C261" s="5"/>
      <c r="D261" s="8"/>
      <c r="E261" s="8"/>
      <c r="F261" s="12" t="str">
        <f>IF(AND(B261="",C261=""),"",SUM(D261:E261))</f>
      </c>
      <c r="G261" s="8"/>
      <c r="H261" s="8"/>
      <c r="I261" s="6"/>
      <c r="J261" s="10" t="str">
        <f>IF(AND(B261="",C261=""),"",IF(OR(B261="",C261=""),"비용 설정 필요",IF(COUNTIFS('3_채널별_비용설정'!$C$6:$C$55,C261,'3_채널별_비용설정'!$D$6:$D$55,"&lt;="&amp;B261,'3_채널별_비용설정'!$O$6:$O$55,"&gt;="&amp;B261)=0,"비용 설정 필요",IF(COUNTIFS('3_채널별_비용설정'!$C$6:$C$55,C261,'3_채널별_비용설정'!$D$6:$D$55,"&lt;="&amp;B261,'3_채널별_비용설정'!$O$6:$O$55,"&gt;="&amp;B261)&gt;1,"기간 중복 확인","정상"))))</f>
      </c>
      <c r="K261" s="15" t="str">
        <f>IF(J261="","",IF(J261&lt;&gt;"정상","비용 설정 필요",SUMIFS('3_채널별_비용설정'!$F$6:$F$55,'3_채널별_비용설정'!$C$6:$C$55,C261,'3_채널별_비용설정'!$D$6:$D$55,"&lt;="&amp;B261,'3_채널별_비용설정'!$O$6:$O$55,"&gt;="&amp;B261)))</f>
      </c>
      <c r="L261" s="12" t="str">
        <f>IF(J261="","",IF(J261&lt;&gt;"정상","비용 설정 필요",ROUND(G261*K261,0)))</f>
      </c>
      <c r="M261" s="12" t="str">
        <f>IF(J261="","",IF(J261&lt;&gt;"정상","비용 설정 필요",SUMIFS('3_채널별_비용설정'!$L$6:$L$55,'3_채널별_비용설정'!$C$6:$C$55,C261,'3_채널별_비용설정'!$D$6:$D$55,"&lt;="&amp;B261,'3_채널별_비용설정'!$O$6:$O$55,"&gt;="&amp;B261)))</f>
      </c>
      <c r="N261" s="12" t="str">
        <f>IF(J261="","",IF(J261&lt;&gt;"정상","비용 설정 필요",SUMIFS('3_채널별_비용설정'!$M$6:$M$55,'3_채널별_비용설정'!$C$6:$C$55,C261,'3_채널별_비용설정'!$D$6:$D$55,"&lt;="&amp;B261,'3_채널별_비용설정'!$O$6:$O$55,"&gt;="&amp;B261)))</f>
      </c>
      <c r="O261" s="12" t="str">
        <f>IF(J261="","",IF(J261&lt;&gt;"정상","비용 설정 필요",(D261*M261)+(E261*N261)))</f>
      </c>
      <c r="P261" s="12" t="str">
        <f>IF(J261="","",IF(J261&lt;&gt;"정상","비용 설정 필요",L261+O261+H261))</f>
      </c>
      <c r="Q261" s="13" t="str">
        <f>IF(J261="","",IF(J261&lt;&gt;"정상","비용 설정 필요",G261-P261))</f>
      </c>
      <c r="R261" s="14" t="str">
        <f>IF(J261="","",IF(J261&lt;&gt;"정상","비용 설정 필요",IFERROR(Q261/G261,0)))</f>
      </c>
    </row>
    <row r="262">
      <c r="B262" s="7"/>
      <c r="C262" s="5"/>
      <c r="D262" s="8"/>
      <c r="E262" s="8"/>
      <c r="F262" s="12" t="str">
        <f>IF(AND(B262="",C262=""),"",SUM(D262:E262))</f>
      </c>
      <c r="G262" s="8"/>
      <c r="H262" s="8"/>
      <c r="I262" s="6"/>
      <c r="J262" s="10" t="str">
        <f>IF(AND(B262="",C262=""),"",IF(OR(B262="",C262=""),"비용 설정 필요",IF(COUNTIFS('3_채널별_비용설정'!$C$6:$C$55,C262,'3_채널별_비용설정'!$D$6:$D$55,"&lt;="&amp;B262,'3_채널별_비용설정'!$O$6:$O$55,"&gt;="&amp;B262)=0,"비용 설정 필요",IF(COUNTIFS('3_채널별_비용설정'!$C$6:$C$55,C262,'3_채널별_비용설정'!$D$6:$D$55,"&lt;="&amp;B262,'3_채널별_비용설정'!$O$6:$O$55,"&gt;="&amp;B262)&gt;1,"기간 중복 확인","정상"))))</f>
      </c>
      <c r="K262" s="15" t="str">
        <f>IF(J262="","",IF(J262&lt;&gt;"정상","비용 설정 필요",SUMIFS('3_채널별_비용설정'!$F$6:$F$55,'3_채널별_비용설정'!$C$6:$C$55,C262,'3_채널별_비용설정'!$D$6:$D$55,"&lt;="&amp;B262,'3_채널별_비용설정'!$O$6:$O$55,"&gt;="&amp;B262)))</f>
      </c>
      <c r="L262" s="12" t="str">
        <f>IF(J262="","",IF(J262&lt;&gt;"정상","비용 설정 필요",ROUND(G262*K262,0)))</f>
      </c>
      <c r="M262" s="12" t="str">
        <f>IF(J262="","",IF(J262&lt;&gt;"정상","비용 설정 필요",SUMIFS('3_채널별_비용설정'!$L$6:$L$55,'3_채널별_비용설정'!$C$6:$C$55,C262,'3_채널별_비용설정'!$D$6:$D$55,"&lt;="&amp;B262,'3_채널별_비용설정'!$O$6:$O$55,"&gt;="&amp;B262)))</f>
      </c>
      <c r="N262" s="12" t="str">
        <f>IF(J262="","",IF(J262&lt;&gt;"정상","비용 설정 필요",SUMIFS('3_채널별_비용설정'!$M$6:$M$55,'3_채널별_비용설정'!$C$6:$C$55,C262,'3_채널별_비용설정'!$D$6:$D$55,"&lt;="&amp;B262,'3_채널별_비용설정'!$O$6:$O$55,"&gt;="&amp;B262)))</f>
      </c>
      <c r="O262" s="12" t="str">
        <f>IF(J262="","",IF(J262&lt;&gt;"정상","비용 설정 필요",(D262*M262)+(E262*N262)))</f>
      </c>
      <c r="P262" s="12" t="str">
        <f>IF(J262="","",IF(J262&lt;&gt;"정상","비용 설정 필요",L262+O262+H262))</f>
      </c>
      <c r="Q262" s="13" t="str">
        <f>IF(J262="","",IF(J262&lt;&gt;"정상","비용 설정 필요",G262-P262))</f>
      </c>
      <c r="R262" s="14" t="str">
        <f>IF(J262="","",IF(J262&lt;&gt;"정상","비용 설정 필요",IFERROR(Q262/G262,0)))</f>
      </c>
    </row>
    <row r="263">
      <c r="B263" s="7"/>
      <c r="C263" s="5"/>
      <c r="D263" s="8"/>
      <c r="E263" s="8"/>
      <c r="F263" s="12" t="str">
        <f>IF(AND(B263="",C263=""),"",SUM(D263:E263))</f>
      </c>
      <c r="G263" s="8"/>
      <c r="H263" s="8"/>
      <c r="I263" s="6"/>
      <c r="J263" s="10" t="str">
        <f>IF(AND(B263="",C263=""),"",IF(OR(B263="",C263=""),"비용 설정 필요",IF(COUNTIFS('3_채널별_비용설정'!$C$6:$C$55,C263,'3_채널별_비용설정'!$D$6:$D$55,"&lt;="&amp;B263,'3_채널별_비용설정'!$O$6:$O$55,"&gt;="&amp;B263)=0,"비용 설정 필요",IF(COUNTIFS('3_채널별_비용설정'!$C$6:$C$55,C263,'3_채널별_비용설정'!$D$6:$D$55,"&lt;="&amp;B263,'3_채널별_비용설정'!$O$6:$O$55,"&gt;="&amp;B263)&gt;1,"기간 중복 확인","정상"))))</f>
      </c>
      <c r="K263" s="15" t="str">
        <f>IF(J263="","",IF(J263&lt;&gt;"정상","비용 설정 필요",SUMIFS('3_채널별_비용설정'!$F$6:$F$55,'3_채널별_비용설정'!$C$6:$C$55,C263,'3_채널별_비용설정'!$D$6:$D$55,"&lt;="&amp;B263,'3_채널별_비용설정'!$O$6:$O$55,"&gt;="&amp;B263)))</f>
      </c>
      <c r="L263" s="12" t="str">
        <f>IF(J263="","",IF(J263&lt;&gt;"정상","비용 설정 필요",ROUND(G263*K263,0)))</f>
      </c>
      <c r="M263" s="12" t="str">
        <f>IF(J263="","",IF(J263&lt;&gt;"정상","비용 설정 필요",SUMIFS('3_채널별_비용설정'!$L$6:$L$55,'3_채널별_비용설정'!$C$6:$C$55,C263,'3_채널별_비용설정'!$D$6:$D$55,"&lt;="&amp;B263,'3_채널별_비용설정'!$O$6:$O$55,"&gt;="&amp;B263)))</f>
      </c>
      <c r="N263" s="12" t="str">
        <f>IF(J263="","",IF(J263&lt;&gt;"정상","비용 설정 필요",SUMIFS('3_채널별_비용설정'!$M$6:$M$55,'3_채널별_비용설정'!$C$6:$C$55,C263,'3_채널별_비용설정'!$D$6:$D$55,"&lt;="&amp;B263,'3_채널별_비용설정'!$O$6:$O$55,"&gt;="&amp;B263)))</f>
      </c>
      <c r="O263" s="12" t="str">
        <f>IF(J263="","",IF(J263&lt;&gt;"정상","비용 설정 필요",(D263*M263)+(E263*N263)))</f>
      </c>
      <c r="P263" s="12" t="str">
        <f>IF(J263="","",IF(J263&lt;&gt;"정상","비용 설정 필요",L263+O263+H263))</f>
      </c>
      <c r="Q263" s="13" t="str">
        <f>IF(J263="","",IF(J263&lt;&gt;"정상","비용 설정 필요",G263-P263))</f>
      </c>
      <c r="R263" s="14" t="str">
        <f>IF(J263="","",IF(J263&lt;&gt;"정상","비용 설정 필요",IFERROR(Q263/G263,0)))</f>
      </c>
    </row>
    <row r="264">
      <c r="B264" s="7"/>
      <c r="C264" s="5"/>
      <c r="D264" s="8"/>
      <c r="E264" s="8"/>
      <c r="F264" s="12" t="str">
        <f>IF(AND(B264="",C264=""),"",SUM(D264:E264))</f>
      </c>
      <c r="G264" s="8"/>
      <c r="H264" s="8"/>
      <c r="I264" s="6"/>
      <c r="J264" s="10" t="str">
        <f>IF(AND(B264="",C264=""),"",IF(OR(B264="",C264=""),"비용 설정 필요",IF(COUNTIFS('3_채널별_비용설정'!$C$6:$C$55,C264,'3_채널별_비용설정'!$D$6:$D$55,"&lt;="&amp;B264,'3_채널별_비용설정'!$O$6:$O$55,"&gt;="&amp;B264)=0,"비용 설정 필요",IF(COUNTIFS('3_채널별_비용설정'!$C$6:$C$55,C264,'3_채널별_비용설정'!$D$6:$D$55,"&lt;="&amp;B264,'3_채널별_비용설정'!$O$6:$O$55,"&gt;="&amp;B264)&gt;1,"기간 중복 확인","정상"))))</f>
      </c>
      <c r="K264" s="15" t="str">
        <f>IF(J264="","",IF(J264&lt;&gt;"정상","비용 설정 필요",SUMIFS('3_채널별_비용설정'!$F$6:$F$55,'3_채널별_비용설정'!$C$6:$C$55,C264,'3_채널별_비용설정'!$D$6:$D$55,"&lt;="&amp;B264,'3_채널별_비용설정'!$O$6:$O$55,"&gt;="&amp;B264)))</f>
      </c>
      <c r="L264" s="12" t="str">
        <f>IF(J264="","",IF(J264&lt;&gt;"정상","비용 설정 필요",ROUND(G264*K264,0)))</f>
      </c>
      <c r="M264" s="12" t="str">
        <f>IF(J264="","",IF(J264&lt;&gt;"정상","비용 설정 필요",SUMIFS('3_채널별_비용설정'!$L$6:$L$55,'3_채널별_비용설정'!$C$6:$C$55,C264,'3_채널별_비용설정'!$D$6:$D$55,"&lt;="&amp;B264,'3_채널별_비용설정'!$O$6:$O$55,"&gt;="&amp;B264)))</f>
      </c>
      <c r="N264" s="12" t="str">
        <f>IF(J264="","",IF(J264&lt;&gt;"정상","비용 설정 필요",SUMIFS('3_채널별_비용설정'!$M$6:$M$55,'3_채널별_비용설정'!$C$6:$C$55,C264,'3_채널별_비용설정'!$D$6:$D$55,"&lt;="&amp;B264,'3_채널별_비용설정'!$O$6:$O$55,"&gt;="&amp;B264)))</f>
      </c>
      <c r="O264" s="12" t="str">
        <f>IF(J264="","",IF(J264&lt;&gt;"정상","비용 설정 필요",(D264*M264)+(E264*N264)))</f>
      </c>
      <c r="P264" s="12" t="str">
        <f>IF(J264="","",IF(J264&lt;&gt;"정상","비용 설정 필요",L264+O264+H264))</f>
      </c>
      <c r="Q264" s="13" t="str">
        <f>IF(J264="","",IF(J264&lt;&gt;"정상","비용 설정 필요",G264-P264))</f>
      </c>
      <c r="R264" s="14" t="str">
        <f>IF(J264="","",IF(J264&lt;&gt;"정상","비용 설정 필요",IFERROR(Q264/G264,0)))</f>
      </c>
    </row>
    <row r="265">
      <c r="B265" s="7"/>
      <c r="C265" s="5"/>
      <c r="D265" s="8"/>
      <c r="E265" s="8"/>
      <c r="F265" s="12" t="str">
        <f>IF(AND(B265="",C265=""),"",SUM(D265:E265))</f>
      </c>
      <c r="G265" s="8"/>
      <c r="H265" s="8"/>
      <c r="I265" s="6"/>
      <c r="J265" s="10" t="str">
        <f>IF(AND(B265="",C265=""),"",IF(OR(B265="",C265=""),"비용 설정 필요",IF(COUNTIFS('3_채널별_비용설정'!$C$6:$C$55,C265,'3_채널별_비용설정'!$D$6:$D$55,"&lt;="&amp;B265,'3_채널별_비용설정'!$O$6:$O$55,"&gt;="&amp;B265)=0,"비용 설정 필요",IF(COUNTIFS('3_채널별_비용설정'!$C$6:$C$55,C265,'3_채널별_비용설정'!$D$6:$D$55,"&lt;="&amp;B265,'3_채널별_비용설정'!$O$6:$O$55,"&gt;="&amp;B265)&gt;1,"기간 중복 확인","정상"))))</f>
      </c>
      <c r="K265" s="15" t="str">
        <f>IF(J265="","",IF(J265&lt;&gt;"정상","비용 설정 필요",SUMIFS('3_채널별_비용설정'!$F$6:$F$55,'3_채널별_비용설정'!$C$6:$C$55,C265,'3_채널별_비용설정'!$D$6:$D$55,"&lt;="&amp;B265,'3_채널별_비용설정'!$O$6:$O$55,"&gt;="&amp;B265)))</f>
      </c>
      <c r="L265" s="12" t="str">
        <f>IF(J265="","",IF(J265&lt;&gt;"정상","비용 설정 필요",ROUND(G265*K265,0)))</f>
      </c>
      <c r="M265" s="12" t="str">
        <f>IF(J265="","",IF(J265&lt;&gt;"정상","비용 설정 필요",SUMIFS('3_채널별_비용설정'!$L$6:$L$55,'3_채널별_비용설정'!$C$6:$C$55,C265,'3_채널별_비용설정'!$D$6:$D$55,"&lt;="&amp;B265,'3_채널별_비용설정'!$O$6:$O$55,"&gt;="&amp;B265)))</f>
      </c>
      <c r="N265" s="12" t="str">
        <f>IF(J265="","",IF(J265&lt;&gt;"정상","비용 설정 필요",SUMIFS('3_채널별_비용설정'!$M$6:$M$55,'3_채널별_비용설정'!$C$6:$C$55,C265,'3_채널별_비용설정'!$D$6:$D$55,"&lt;="&amp;B265,'3_채널별_비용설정'!$O$6:$O$55,"&gt;="&amp;B265)))</f>
      </c>
      <c r="O265" s="12" t="str">
        <f>IF(J265="","",IF(J265&lt;&gt;"정상","비용 설정 필요",(D265*M265)+(E265*N265)))</f>
      </c>
      <c r="P265" s="12" t="str">
        <f>IF(J265="","",IF(J265&lt;&gt;"정상","비용 설정 필요",L265+O265+H265))</f>
      </c>
      <c r="Q265" s="13" t="str">
        <f>IF(J265="","",IF(J265&lt;&gt;"정상","비용 설정 필요",G265-P265))</f>
      </c>
      <c r="R265" s="14" t="str">
        <f>IF(J265="","",IF(J265&lt;&gt;"정상","비용 설정 필요",IFERROR(Q265/G265,0)))</f>
      </c>
    </row>
    <row r="266">
      <c r="B266" s="7"/>
      <c r="C266" s="5"/>
      <c r="D266" s="8"/>
      <c r="E266" s="8"/>
      <c r="F266" s="12" t="str">
        <f>IF(AND(B266="",C266=""),"",SUM(D266:E266))</f>
      </c>
      <c r="G266" s="8"/>
      <c r="H266" s="8"/>
      <c r="I266" s="6"/>
      <c r="J266" s="10" t="str">
        <f>IF(AND(B266="",C266=""),"",IF(OR(B266="",C266=""),"비용 설정 필요",IF(COUNTIFS('3_채널별_비용설정'!$C$6:$C$55,C266,'3_채널별_비용설정'!$D$6:$D$55,"&lt;="&amp;B266,'3_채널별_비용설정'!$O$6:$O$55,"&gt;="&amp;B266)=0,"비용 설정 필요",IF(COUNTIFS('3_채널별_비용설정'!$C$6:$C$55,C266,'3_채널별_비용설정'!$D$6:$D$55,"&lt;="&amp;B266,'3_채널별_비용설정'!$O$6:$O$55,"&gt;="&amp;B266)&gt;1,"기간 중복 확인","정상"))))</f>
      </c>
      <c r="K266" s="15" t="str">
        <f>IF(J266="","",IF(J266&lt;&gt;"정상","비용 설정 필요",SUMIFS('3_채널별_비용설정'!$F$6:$F$55,'3_채널별_비용설정'!$C$6:$C$55,C266,'3_채널별_비용설정'!$D$6:$D$55,"&lt;="&amp;B266,'3_채널별_비용설정'!$O$6:$O$55,"&gt;="&amp;B266)))</f>
      </c>
      <c r="L266" s="12" t="str">
        <f>IF(J266="","",IF(J266&lt;&gt;"정상","비용 설정 필요",ROUND(G266*K266,0)))</f>
      </c>
      <c r="M266" s="12" t="str">
        <f>IF(J266="","",IF(J266&lt;&gt;"정상","비용 설정 필요",SUMIFS('3_채널별_비용설정'!$L$6:$L$55,'3_채널별_비용설정'!$C$6:$C$55,C266,'3_채널별_비용설정'!$D$6:$D$55,"&lt;="&amp;B266,'3_채널별_비용설정'!$O$6:$O$55,"&gt;="&amp;B266)))</f>
      </c>
      <c r="N266" s="12" t="str">
        <f>IF(J266="","",IF(J266&lt;&gt;"정상","비용 설정 필요",SUMIFS('3_채널별_비용설정'!$M$6:$M$55,'3_채널별_비용설정'!$C$6:$C$55,C266,'3_채널별_비용설정'!$D$6:$D$55,"&lt;="&amp;B266,'3_채널별_비용설정'!$O$6:$O$55,"&gt;="&amp;B266)))</f>
      </c>
      <c r="O266" s="12" t="str">
        <f>IF(J266="","",IF(J266&lt;&gt;"정상","비용 설정 필요",(D266*M266)+(E266*N266)))</f>
      </c>
      <c r="P266" s="12" t="str">
        <f>IF(J266="","",IF(J266&lt;&gt;"정상","비용 설정 필요",L266+O266+H266))</f>
      </c>
      <c r="Q266" s="13" t="str">
        <f>IF(J266="","",IF(J266&lt;&gt;"정상","비용 설정 필요",G266-P266))</f>
      </c>
      <c r="R266" s="14" t="str">
        <f>IF(J266="","",IF(J266&lt;&gt;"정상","비용 설정 필요",IFERROR(Q266/G266,0)))</f>
      </c>
    </row>
    <row r="267">
      <c r="B267" s="7"/>
      <c r="C267" s="5"/>
      <c r="D267" s="8"/>
      <c r="E267" s="8"/>
      <c r="F267" s="12" t="str">
        <f>IF(AND(B267="",C267=""),"",SUM(D267:E267))</f>
      </c>
      <c r="G267" s="8"/>
      <c r="H267" s="8"/>
      <c r="I267" s="6"/>
      <c r="J267" s="10" t="str">
        <f>IF(AND(B267="",C267=""),"",IF(OR(B267="",C267=""),"비용 설정 필요",IF(COUNTIFS('3_채널별_비용설정'!$C$6:$C$55,C267,'3_채널별_비용설정'!$D$6:$D$55,"&lt;="&amp;B267,'3_채널별_비용설정'!$O$6:$O$55,"&gt;="&amp;B267)=0,"비용 설정 필요",IF(COUNTIFS('3_채널별_비용설정'!$C$6:$C$55,C267,'3_채널별_비용설정'!$D$6:$D$55,"&lt;="&amp;B267,'3_채널별_비용설정'!$O$6:$O$55,"&gt;="&amp;B267)&gt;1,"기간 중복 확인","정상"))))</f>
      </c>
      <c r="K267" s="15" t="str">
        <f>IF(J267="","",IF(J267&lt;&gt;"정상","비용 설정 필요",SUMIFS('3_채널별_비용설정'!$F$6:$F$55,'3_채널별_비용설정'!$C$6:$C$55,C267,'3_채널별_비용설정'!$D$6:$D$55,"&lt;="&amp;B267,'3_채널별_비용설정'!$O$6:$O$55,"&gt;="&amp;B267)))</f>
      </c>
      <c r="L267" s="12" t="str">
        <f>IF(J267="","",IF(J267&lt;&gt;"정상","비용 설정 필요",ROUND(G267*K267,0)))</f>
      </c>
      <c r="M267" s="12" t="str">
        <f>IF(J267="","",IF(J267&lt;&gt;"정상","비용 설정 필요",SUMIFS('3_채널별_비용설정'!$L$6:$L$55,'3_채널별_비용설정'!$C$6:$C$55,C267,'3_채널별_비용설정'!$D$6:$D$55,"&lt;="&amp;B267,'3_채널별_비용설정'!$O$6:$O$55,"&gt;="&amp;B267)))</f>
      </c>
      <c r="N267" s="12" t="str">
        <f>IF(J267="","",IF(J267&lt;&gt;"정상","비용 설정 필요",SUMIFS('3_채널별_비용설정'!$M$6:$M$55,'3_채널별_비용설정'!$C$6:$C$55,C267,'3_채널별_비용설정'!$D$6:$D$55,"&lt;="&amp;B267,'3_채널별_비용설정'!$O$6:$O$55,"&gt;="&amp;B267)))</f>
      </c>
      <c r="O267" s="12" t="str">
        <f>IF(J267="","",IF(J267&lt;&gt;"정상","비용 설정 필요",(D267*M267)+(E267*N267)))</f>
      </c>
      <c r="P267" s="12" t="str">
        <f>IF(J267="","",IF(J267&lt;&gt;"정상","비용 설정 필요",L267+O267+H267))</f>
      </c>
      <c r="Q267" s="13" t="str">
        <f>IF(J267="","",IF(J267&lt;&gt;"정상","비용 설정 필요",G267-P267))</f>
      </c>
      <c r="R267" s="14" t="str">
        <f>IF(J267="","",IF(J267&lt;&gt;"정상","비용 설정 필요",IFERROR(Q267/G267,0)))</f>
      </c>
    </row>
    <row r="268">
      <c r="B268" s="7"/>
      <c r="C268" s="5"/>
      <c r="D268" s="8"/>
      <c r="E268" s="8"/>
      <c r="F268" s="12" t="str">
        <f>IF(AND(B268="",C268=""),"",SUM(D268:E268))</f>
      </c>
      <c r="G268" s="8"/>
      <c r="H268" s="8"/>
      <c r="I268" s="6"/>
      <c r="J268" s="10" t="str">
        <f>IF(AND(B268="",C268=""),"",IF(OR(B268="",C268=""),"비용 설정 필요",IF(COUNTIFS('3_채널별_비용설정'!$C$6:$C$55,C268,'3_채널별_비용설정'!$D$6:$D$55,"&lt;="&amp;B268,'3_채널별_비용설정'!$O$6:$O$55,"&gt;="&amp;B268)=0,"비용 설정 필요",IF(COUNTIFS('3_채널별_비용설정'!$C$6:$C$55,C268,'3_채널별_비용설정'!$D$6:$D$55,"&lt;="&amp;B268,'3_채널별_비용설정'!$O$6:$O$55,"&gt;="&amp;B268)&gt;1,"기간 중복 확인","정상"))))</f>
      </c>
      <c r="K268" s="15" t="str">
        <f>IF(J268="","",IF(J268&lt;&gt;"정상","비용 설정 필요",SUMIFS('3_채널별_비용설정'!$F$6:$F$55,'3_채널별_비용설정'!$C$6:$C$55,C268,'3_채널별_비용설정'!$D$6:$D$55,"&lt;="&amp;B268,'3_채널별_비용설정'!$O$6:$O$55,"&gt;="&amp;B268)))</f>
      </c>
      <c r="L268" s="12" t="str">
        <f>IF(J268="","",IF(J268&lt;&gt;"정상","비용 설정 필요",ROUND(G268*K268,0)))</f>
      </c>
      <c r="M268" s="12" t="str">
        <f>IF(J268="","",IF(J268&lt;&gt;"정상","비용 설정 필요",SUMIFS('3_채널별_비용설정'!$L$6:$L$55,'3_채널별_비용설정'!$C$6:$C$55,C268,'3_채널별_비용설정'!$D$6:$D$55,"&lt;="&amp;B268,'3_채널별_비용설정'!$O$6:$O$55,"&gt;="&amp;B268)))</f>
      </c>
      <c r="N268" s="12" t="str">
        <f>IF(J268="","",IF(J268&lt;&gt;"정상","비용 설정 필요",SUMIFS('3_채널별_비용설정'!$M$6:$M$55,'3_채널별_비용설정'!$C$6:$C$55,C268,'3_채널별_비용설정'!$D$6:$D$55,"&lt;="&amp;B268,'3_채널별_비용설정'!$O$6:$O$55,"&gt;="&amp;B268)))</f>
      </c>
      <c r="O268" s="12" t="str">
        <f>IF(J268="","",IF(J268&lt;&gt;"정상","비용 설정 필요",(D268*M268)+(E268*N268)))</f>
      </c>
      <c r="P268" s="12" t="str">
        <f>IF(J268="","",IF(J268&lt;&gt;"정상","비용 설정 필요",L268+O268+H268))</f>
      </c>
      <c r="Q268" s="13" t="str">
        <f>IF(J268="","",IF(J268&lt;&gt;"정상","비용 설정 필요",G268-P268))</f>
      </c>
      <c r="R268" s="14" t="str">
        <f>IF(J268="","",IF(J268&lt;&gt;"정상","비용 설정 필요",IFERROR(Q268/G268,0)))</f>
      </c>
    </row>
    <row r="269">
      <c r="B269" s="7"/>
      <c r="C269" s="5"/>
      <c r="D269" s="8"/>
      <c r="E269" s="8"/>
      <c r="F269" s="12" t="str">
        <f>IF(AND(B269="",C269=""),"",SUM(D269:E269))</f>
      </c>
      <c r="G269" s="8"/>
      <c r="H269" s="8"/>
      <c r="I269" s="6"/>
      <c r="J269" s="10" t="str">
        <f>IF(AND(B269="",C269=""),"",IF(OR(B269="",C269=""),"비용 설정 필요",IF(COUNTIFS('3_채널별_비용설정'!$C$6:$C$55,C269,'3_채널별_비용설정'!$D$6:$D$55,"&lt;="&amp;B269,'3_채널별_비용설정'!$O$6:$O$55,"&gt;="&amp;B269)=0,"비용 설정 필요",IF(COUNTIFS('3_채널별_비용설정'!$C$6:$C$55,C269,'3_채널별_비용설정'!$D$6:$D$55,"&lt;="&amp;B269,'3_채널별_비용설정'!$O$6:$O$55,"&gt;="&amp;B269)&gt;1,"기간 중복 확인","정상"))))</f>
      </c>
      <c r="K269" s="15" t="str">
        <f>IF(J269="","",IF(J269&lt;&gt;"정상","비용 설정 필요",SUMIFS('3_채널별_비용설정'!$F$6:$F$55,'3_채널별_비용설정'!$C$6:$C$55,C269,'3_채널별_비용설정'!$D$6:$D$55,"&lt;="&amp;B269,'3_채널별_비용설정'!$O$6:$O$55,"&gt;="&amp;B269)))</f>
      </c>
      <c r="L269" s="12" t="str">
        <f>IF(J269="","",IF(J269&lt;&gt;"정상","비용 설정 필요",ROUND(G269*K269,0)))</f>
      </c>
      <c r="M269" s="12" t="str">
        <f>IF(J269="","",IF(J269&lt;&gt;"정상","비용 설정 필요",SUMIFS('3_채널별_비용설정'!$L$6:$L$55,'3_채널별_비용설정'!$C$6:$C$55,C269,'3_채널별_비용설정'!$D$6:$D$55,"&lt;="&amp;B269,'3_채널별_비용설정'!$O$6:$O$55,"&gt;="&amp;B269)))</f>
      </c>
      <c r="N269" s="12" t="str">
        <f>IF(J269="","",IF(J269&lt;&gt;"정상","비용 설정 필요",SUMIFS('3_채널별_비용설정'!$M$6:$M$55,'3_채널별_비용설정'!$C$6:$C$55,C269,'3_채널별_비용설정'!$D$6:$D$55,"&lt;="&amp;B269,'3_채널별_비용설정'!$O$6:$O$55,"&gt;="&amp;B269)))</f>
      </c>
      <c r="O269" s="12" t="str">
        <f>IF(J269="","",IF(J269&lt;&gt;"정상","비용 설정 필요",(D269*M269)+(E269*N269)))</f>
      </c>
      <c r="P269" s="12" t="str">
        <f>IF(J269="","",IF(J269&lt;&gt;"정상","비용 설정 필요",L269+O269+H269))</f>
      </c>
      <c r="Q269" s="13" t="str">
        <f>IF(J269="","",IF(J269&lt;&gt;"정상","비용 설정 필요",G269-P269))</f>
      </c>
      <c r="R269" s="14" t="str">
        <f>IF(J269="","",IF(J269&lt;&gt;"정상","비용 설정 필요",IFERROR(Q269/G269,0)))</f>
      </c>
    </row>
    <row r="270">
      <c r="B270" s="7"/>
      <c r="C270" s="5"/>
      <c r="D270" s="8"/>
      <c r="E270" s="8"/>
      <c r="F270" s="12" t="str">
        <f>IF(AND(B270="",C270=""),"",SUM(D270:E270))</f>
      </c>
      <c r="G270" s="8"/>
      <c r="H270" s="8"/>
      <c r="I270" s="6"/>
      <c r="J270" s="10" t="str">
        <f>IF(AND(B270="",C270=""),"",IF(OR(B270="",C270=""),"비용 설정 필요",IF(COUNTIFS('3_채널별_비용설정'!$C$6:$C$55,C270,'3_채널별_비용설정'!$D$6:$D$55,"&lt;="&amp;B270,'3_채널별_비용설정'!$O$6:$O$55,"&gt;="&amp;B270)=0,"비용 설정 필요",IF(COUNTIFS('3_채널별_비용설정'!$C$6:$C$55,C270,'3_채널별_비용설정'!$D$6:$D$55,"&lt;="&amp;B270,'3_채널별_비용설정'!$O$6:$O$55,"&gt;="&amp;B270)&gt;1,"기간 중복 확인","정상"))))</f>
      </c>
      <c r="K270" s="15" t="str">
        <f>IF(J270="","",IF(J270&lt;&gt;"정상","비용 설정 필요",SUMIFS('3_채널별_비용설정'!$F$6:$F$55,'3_채널별_비용설정'!$C$6:$C$55,C270,'3_채널별_비용설정'!$D$6:$D$55,"&lt;="&amp;B270,'3_채널별_비용설정'!$O$6:$O$55,"&gt;="&amp;B270)))</f>
      </c>
      <c r="L270" s="12" t="str">
        <f>IF(J270="","",IF(J270&lt;&gt;"정상","비용 설정 필요",ROUND(G270*K270,0)))</f>
      </c>
      <c r="M270" s="12" t="str">
        <f>IF(J270="","",IF(J270&lt;&gt;"정상","비용 설정 필요",SUMIFS('3_채널별_비용설정'!$L$6:$L$55,'3_채널별_비용설정'!$C$6:$C$55,C270,'3_채널별_비용설정'!$D$6:$D$55,"&lt;="&amp;B270,'3_채널별_비용설정'!$O$6:$O$55,"&gt;="&amp;B270)))</f>
      </c>
      <c r="N270" s="12" t="str">
        <f>IF(J270="","",IF(J270&lt;&gt;"정상","비용 설정 필요",SUMIFS('3_채널별_비용설정'!$M$6:$M$55,'3_채널별_비용설정'!$C$6:$C$55,C270,'3_채널별_비용설정'!$D$6:$D$55,"&lt;="&amp;B270,'3_채널별_비용설정'!$O$6:$O$55,"&gt;="&amp;B270)))</f>
      </c>
      <c r="O270" s="12" t="str">
        <f>IF(J270="","",IF(J270&lt;&gt;"정상","비용 설정 필요",(D270*M270)+(E270*N270)))</f>
      </c>
      <c r="P270" s="12" t="str">
        <f>IF(J270="","",IF(J270&lt;&gt;"정상","비용 설정 필요",L270+O270+H270))</f>
      </c>
      <c r="Q270" s="13" t="str">
        <f>IF(J270="","",IF(J270&lt;&gt;"정상","비용 설정 필요",G270-P270))</f>
      </c>
      <c r="R270" s="14" t="str">
        <f>IF(J270="","",IF(J270&lt;&gt;"정상","비용 설정 필요",IFERROR(Q270/G270,0)))</f>
      </c>
    </row>
    <row r="271">
      <c r="B271" s="7"/>
      <c r="C271" s="5"/>
      <c r="D271" s="8"/>
      <c r="E271" s="8"/>
      <c r="F271" s="12" t="str">
        <f>IF(AND(B271="",C271=""),"",SUM(D271:E271))</f>
      </c>
      <c r="G271" s="8"/>
      <c r="H271" s="8"/>
      <c r="I271" s="6"/>
      <c r="J271" s="10" t="str">
        <f>IF(AND(B271="",C271=""),"",IF(OR(B271="",C271=""),"비용 설정 필요",IF(COUNTIFS('3_채널별_비용설정'!$C$6:$C$55,C271,'3_채널별_비용설정'!$D$6:$D$55,"&lt;="&amp;B271,'3_채널별_비용설정'!$O$6:$O$55,"&gt;="&amp;B271)=0,"비용 설정 필요",IF(COUNTIFS('3_채널별_비용설정'!$C$6:$C$55,C271,'3_채널별_비용설정'!$D$6:$D$55,"&lt;="&amp;B271,'3_채널별_비용설정'!$O$6:$O$55,"&gt;="&amp;B271)&gt;1,"기간 중복 확인","정상"))))</f>
      </c>
      <c r="K271" s="15" t="str">
        <f>IF(J271="","",IF(J271&lt;&gt;"정상","비용 설정 필요",SUMIFS('3_채널별_비용설정'!$F$6:$F$55,'3_채널별_비용설정'!$C$6:$C$55,C271,'3_채널별_비용설정'!$D$6:$D$55,"&lt;="&amp;B271,'3_채널별_비용설정'!$O$6:$O$55,"&gt;="&amp;B271)))</f>
      </c>
      <c r="L271" s="12" t="str">
        <f>IF(J271="","",IF(J271&lt;&gt;"정상","비용 설정 필요",ROUND(G271*K271,0)))</f>
      </c>
      <c r="M271" s="12" t="str">
        <f>IF(J271="","",IF(J271&lt;&gt;"정상","비용 설정 필요",SUMIFS('3_채널별_비용설정'!$L$6:$L$55,'3_채널별_비용설정'!$C$6:$C$55,C271,'3_채널별_비용설정'!$D$6:$D$55,"&lt;="&amp;B271,'3_채널별_비용설정'!$O$6:$O$55,"&gt;="&amp;B271)))</f>
      </c>
      <c r="N271" s="12" t="str">
        <f>IF(J271="","",IF(J271&lt;&gt;"정상","비용 설정 필요",SUMIFS('3_채널별_비용설정'!$M$6:$M$55,'3_채널별_비용설정'!$C$6:$C$55,C271,'3_채널별_비용설정'!$D$6:$D$55,"&lt;="&amp;B271,'3_채널별_비용설정'!$O$6:$O$55,"&gt;="&amp;B271)))</f>
      </c>
      <c r="O271" s="12" t="str">
        <f>IF(J271="","",IF(J271&lt;&gt;"정상","비용 설정 필요",(D271*M271)+(E271*N271)))</f>
      </c>
      <c r="P271" s="12" t="str">
        <f>IF(J271="","",IF(J271&lt;&gt;"정상","비용 설정 필요",L271+O271+H271))</f>
      </c>
      <c r="Q271" s="13" t="str">
        <f>IF(J271="","",IF(J271&lt;&gt;"정상","비용 설정 필요",G271-P271))</f>
      </c>
      <c r="R271" s="14" t="str">
        <f>IF(J271="","",IF(J271&lt;&gt;"정상","비용 설정 필요",IFERROR(Q271/G271,0)))</f>
      </c>
    </row>
    <row r="272">
      <c r="B272" s="7"/>
      <c r="C272" s="5"/>
      <c r="D272" s="8"/>
      <c r="E272" s="8"/>
      <c r="F272" s="12" t="str">
        <f>IF(AND(B272="",C272=""),"",SUM(D272:E272))</f>
      </c>
      <c r="G272" s="8"/>
      <c r="H272" s="8"/>
      <c r="I272" s="6"/>
      <c r="J272" s="10" t="str">
        <f>IF(AND(B272="",C272=""),"",IF(OR(B272="",C272=""),"비용 설정 필요",IF(COUNTIFS('3_채널별_비용설정'!$C$6:$C$55,C272,'3_채널별_비용설정'!$D$6:$D$55,"&lt;="&amp;B272,'3_채널별_비용설정'!$O$6:$O$55,"&gt;="&amp;B272)=0,"비용 설정 필요",IF(COUNTIFS('3_채널별_비용설정'!$C$6:$C$55,C272,'3_채널별_비용설정'!$D$6:$D$55,"&lt;="&amp;B272,'3_채널별_비용설정'!$O$6:$O$55,"&gt;="&amp;B272)&gt;1,"기간 중복 확인","정상"))))</f>
      </c>
      <c r="K272" s="15" t="str">
        <f>IF(J272="","",IF(J272&lt;&gt;"정상","비용 설정 필요",SUMIFS('3_채널별_비용설정'!$F$6:$F$55,'3_채널별_비용설정'!$C$6:$C$55,C272,'3_채널별_비용설정'!$D$6:$D$55,"&lt;="&amp;B272,'3_채널별_비용설정'!$O$6:$O$55,"&gt;="&amp;B272)))</f>
      </c>
      <c r="L272" s="12" t="str">
        <f>IF(J272="","",IF(J272&lt;&gt;"정상","비용 설정 필요",ROUND(G272*K272,0)))</f>
      </c>
      <c r="M272" s="12" t="str">
        <f>IF(J272="","",IF(J272&lt;&gt;"정상","비용 설정 필요",SUMIFS('3_채널별_비용설정'!$L$6:$L$55,'3_채널별_비용설정'!$C$6:$C$55,C272,'3_채널별_비용설정'!$D$6:$D$55,"&lt;="&amp;B272,'3_채널별_비용설정'!$O$6:$O$55,"&gt;="&amp;B272)))</f>
      </c>
      <c r="N272" s="12" t="str">
        <f>IF(J272="","",IF(J272&lt;&gt;"정상","비용 설정 필요",SUMIFS('3_채널별_비용설정'!$M$6:$M$55,'3_채널별_비용설정'!$C$6:$C$55,C272,'3_채널별_비용설정'!$D$6:$D$55,"&lt;="&amp;B272,'3_채널별_비용설정'!$O$6:$O$55,"&gt;="&amp;B272)))</f>
      </c>
      <c r="O272" s="12" t="str">
        <f>IF(J272="","",IF(J272&lt;&gt;"정상","비용 설정 필요",(D272*M272)+(E272*N272)))</f>
      </c>
      <c r="P272" s="12" t="str">
        <f>IF(J272="","",IF(J272&lt;&gt;"정상","비용 설정 필요",L272+O272+H272))</f>
      </c>
      <c r="Q272" s="13" t="str">
        <f>IF(J272="","",IF(J272&lt;&gt;"정상","비용 설정 필요",G272-P272))</f>
      </c>
      <c r="R272" s="14" t="str">
        <f>IF(J272="","",IF(J272&lt;&gt;"정상","비용 설정 필요",IFERROR(Q272/G272,0)))</f>
      </c>
    </row>
    <row r="273">
      <c r="B273" s="7"/>
      <c r="C273" s="5"/>
      <c r="D273" s="8"/>
      <c r="E273" s="8"/>
      <c r="F273" s="12" t="str">
        <f>IF(AND(B273="",C273=""),"",SUM(D273:E273))</f>
      </c>
      <c r="G273" s="8"/>
      <c r="H273" s="8"/>
      <c r="I273" s="6"/>
      <c r="J273" s="10" t="str">
        <f>IF(AND(B273="",C273=""),"",IF(OR(B273="",C273=""),"비용 설정 필요",IF(COUNTIFS('3_채널별_비용설정'!$C$6:$C$55,C273,'3_채널별_비용설정'!$D$6:$D$55,"&lt;="&amp;B273,'3_채널별_비용설정'!$O$6:$O$55,"&gt;="&amp;B273)=0,"비용 설정 필요",IF(COUNTIFS('3_채널별_비용설정'!$C$6:$C$55,C273,'3_채널별_비용설정'!$D$6:$D$55,"&lt;="&amp;B273,'3_채널별_비용설정'!$O$6:$O$55,"&gt;="&amp;B273)&gt;1,"기간 중복 확인","정상"))))</f>
      </c>
      <c r="K273" s="15" t="str">
        <f>IF(J273="","",IF(J273&lt;&gt;"정상","비용 설정 필요",SUMIFS('3_채널별_비용설정'!$F$6:$F$55,'3_채널별_비용설정'!$C$6:$C$55,C273,'3_채널별_비용설정'!$D$6:$D$55,"&lt;="&amp;B273,'3_채널별_비용설정'!$O$6:$O$55,"&gt;="&amp;B273)))</f>
      </c>
      <c r="L273" s="12" t="str">
        <f>IF(J273="","",IF(J273&lt;&gt;"정상","비용 설정 필요",ROUND(G273*K273,0)))</f>
      </c>
      <c r="M273" s="12" t="str">
        <f>IF(J273="","",IF(J273&lt;&gt;"정상","비용 설정 필요",SUMIFS('3_채널별_비용설정'!$L$6:$L$55,'3_채널별_비용설정'!$C$6:$C$55,C273,'3_채널별_비용설정'!$D$6:$D$55,"&lt;="&amp;B273,'3_채널별_비용설정'!$O$6:$O$55,"&gt;="&amp;B273)))</f>
      </c>
      <c r="N273" s="12" t="str">
        <f>IF(J273="","",IF(J273&lt;&gt;"정상","비용 설정 필요",SUMIFS('3_채널별_비용설정'!$M$6:$M$55,'3_채널별_비용설정'!$C$6:$C$55,C273,'3_채널별_비용설정'!$D$6:$D$55,"&lt;="&amp;B273,'3_채널별_비용설정'!$O$6:$O$55,"&gt;="&amp;B273)))</f>
      </c>
      <c r="O273" s="12" t="str">
        <f>IF(J273="","",IF(J273&lt;&gt;"정상","비용 설정 필요",(D273*M273)+(E273*N273)))</f>
      </c>
      <c r="P273" s="12" t="str">
        <f>IF(J273="","",IF(J273&lt;&gt;"정상","비용 설정 필요",L273+O273+H273))</f>
      </c>
      <c r="Q273" s="13" t="str">
        <f>IF(J273="","",IF(J273&lt;&gt;"정상","비용 설정 필요",G273-P273))</f>
      </c>
      <c r="R273" s="14" t="str">
        <f>IF(J273="","",IF(J273&lt;&gt;"정상","비용 설정 필요",IFERROR(Q273/G273,0)))</f>
      </c>
    </row>
    <row r="274">
      <c r="B274" s="7"/>
      <c r="C274" s="5"/>
      <c r="D274" s="8"/>
      <c r="E274" s="8"/>
      <c r="F274" s="12" t="str">
        <f>IF(AND(B274="",C274=""),"",SUM(D274:E274))</f>
      </c>
      <c r="G274" s="8"/>
      <c r="H274" s="8"/>
      <c r="I274" s="6"/>
      <c r="J274" s="10" t="str">
        <f>IF(AND(B274="",C274=""),"",IF(OR(B274="",C274=""),"비용 설정 필요",IF(COUNTIFS('3_채널별_비용설정'!$C$6:$C$55,C274,'3_채널별_비용설정'!$D$6:$D$55,"&lt;="&amp;B274,'3_채널별_비용설정'!$O$6:$O$55,"&gt;="&amp;B274)=0,"비용 설정 필요",IF(COUNTIFS('3_채널별_비용설정'!$C$6:$C$55,C274,'3_채널별_비용설정'!$D$6:$D$55,"&lt;="&amp;B274,'3_채널별_비용설정'!$O$6:$O$55,"&gt;="&amp;B274)&gt;1,"기간 중복 확인","정상"))))</f>
      </c>
      <c r="K274" s="15" t="str">
        <f>IF(J274="","",IF(J274&lt;&gt;"정상","비용 설정 필요",SUMIFS('3_채널별_비용설정'!$F$6:$F$55,'3_채널별_비용설정'!$C$6:$C$55,C274,'3_채널별_비용설정'!$D$6:$D$55,"&lt;="&amp;B274,'3_채널별_비용설정'!$O$6:$O$55,"&gt;="&amp;B274)))</f>
      </c>
      <c r="L274" s="12" t="str">
        <f>IF(J274="","",IF(J274&lt;&gt;"정상","비용 설정 필요",ROUND(G274*K274,0)))</f>
      </c>
      <c r="M274" s="12" t="str">
        <f>IF(J274="","",IF(J274&lt;&gt;"정상","비용 설정 필요",SUMIFS('3_채널별_비용설정'!$L$6:$L$55,'3_채널별_비용설정'!$C$6:$C$55,C274,'3_채널별_비용설정'!$D$6:$D$55,"&lt;="&amp;B274,'3_채널별_비용설정'!$O$6:$O$55,"&gt;="&amp;B274)))</f>
      </c>
      <c r="N274" s="12" t="str">
        <f>IF(J274="","",IF(J274&lt;&gt;"정상","비용 설정 필요",SUMIFS('3_채널별_비용설정'!$M$6:$M$55,'3_채널별_비용설정'!$C$6:$C$55,C274,'3_채널별_비용설정'!$D$6:$D$55,"&lt;="&amp;B274,'3_채널별_비용설정'!$O$6:$O$55,"&gt;="&amp;B274)))</f>
      </c>
      <c r="O274" s="12" t="str">
        <f>IF(J274="","",IF(J274&lt;&gt;"정상","비용 설정 필요",(D274*M274)+(E274*N274)))</f>
      </c>
      <c r="P274" s="12" t="str">
        <f>IF(J274="","",IF(J274&lt;&gt;"정상","비용 설정 필요",L274+O274+H274))</f>
      </c>
      <c r="Q274" s="13" t="str">
        <f>IF(J274="","",IF(J274&lt;&gt;"정상","비용 설정 필요",G274-P274))</f>
      </c>
      <c r="R274" s="14" t="str">
        <f>IF(J274="","",IF(J274&lt;&gt;"정상","비용 설정 필요",IFERROR(Q274/G274,0)))</f>
      </c>
    </row>
    <row r="275">
      <c r="B275" s="7"/>
      <c r="C275" s="5"/>
      <c r="D275" s="8"/>
      <c r="E275" s="8"/>
      <c r="F275" s="12" t="str">
        <f>IF(AND(B275="",C275=""),"",SUM(D275:E275))</f>
      </c>
      <c r="G275" s="8"/>
      <c r="H275" s="8"/>
      <c r="I275" s="6"/>
      <c r="J275" s="10" t="str">
        <f>IF(AND(B275="",C275=""),"",IF(OR(B275="",C275=""),"비용 설정 필요",IF(COUNTIFS('3_채널별_비용설정'!$C$6:$C$55,C275,'3_채널별_비용설정'!$D$6:$D$55,"&lt;="&amp;B275,'3_채널별_비용설정'!$O$6:$O$55,"&gt;="&amp;B275)=0,"비용 설정 필요",IF(COUNTIFS('3_채널별_비용설정'!$C$6:$C$55,C275,'3_채널별_비용설정'!$D$6:$D$55,"&lt;="&amp;B275,'3_채널별_비용설정'!$O$6:$O$55,"&gt;="&amp;B275)&gt;1,"기간 중복 확인","정상"))))</f>
      </c>
      <c r="K275" s="15" t="str">
        <f>IF(J275="","",IF(J275&lt;&gt;"정상","비용 설정 필요",SUMIFS('3_채널별_비용설정'!$F$6:$F$55,'3_채널별_비용설정'!$C$6:$C$55,C275,'3_채널별_비용설정'!$D$6:$D$55,"&lt;="&amp;B275,'3_채널별_비용설정'!$O$6:$O$55,"&gt;="&amp;B275)))</f>
      </c>
      <c r="L275" s="12" t="str">
        <f>IF(J275="","",IF(J275&lt;&gt;"정상","비용 설정 필요",ROUND(G275*K275,0)))</f>
      </c>
      <c r="M275" s="12" t="str">
        <f>IF(J275="","",IF(J275&lt;&gt;"정상","비용 설정 필요",SUMIFS('3_채널별_비용설정'!$L$6:$L$55,'3_채널별_비용설정'!$C$6:$C$55,C275,'3_채널별_비용설정'!$D$6:$D$55,"&lt;="&amp;B275,'3_채널별_비용설정'!$O$6:$O$55,"&gt;="&amp;B275)))</f>
      </c>
      <c r="N275" s="12" t="str">
        <f>IF(J275="","",IF(J275&lt;&gt;"정상","비용 설정 필요",SUMIFS('3_채널별_비용설정'!$M$6:$M$55,'3_채널별_비용설정'!$C$6:$C$55,C275,'3_채널별_비용설정'!$D$6:$D$55,"&lt;="&amp;B275,'3_채널별_비용설정'!$O$6:$O$55,"&gt;="&amp;B275)))</f>
      </c>
      <c r="O275" s="12" t="str">
        <f>IF(J275="","",IF(J275&lt;&gt;"정상","비용 설정 필요",(D275*M275)+(E275*N275)))</f>
      </c>
      <c r="P275" s="12" t="str">
        <f>IF(J275="","",IF(J275&lt;&gt;"정상","비용 설정 필요",L275+O275+H275))</f>
      </c>
      <c r="Q275" s="13" t="str">
        <f>IF(J275="","",IF(J275&lt;&gt;"정상","비용 설정 필요",G275-P275))</f>
      </c>
      <c r="R275" s="14" t="str">
        <f>IF(J275="","",IF(J275&lt;&gt;"정상","비용 설정 필요",IFERROR(Q275/G275,0)))</f>
      </c>
    </row>
    <row r="276">
      <c r="B276" s="7"/>
      <c r="C276" s="5"/>
      <c r="D276" s="8"/>
      <c r="E276" s="8"/>
      <c r="F276" s="12" t="str">
        <f>IF(AND(B276="",C276=""),"",SUM(D276:E276))</f>
      </c>
      <c r="G276" s="8"/>
      <c r="H276" s="8"/>
      <c r="I276" s="6"/>
      <c r="J276" s="10" t="str">
        <f>IF(AND(B276="",C276=""),"",IF(OR(B276="",C276=""),"비용 설정 필요",IF(COUNTIFS('3_채널별_비용설정'!$C$6:$C$55,C276,'3_채널별_비용설정'!$D$6:$D$55,"&lt;="&amp;B276,'3_채널별_비용설정'!$O$6:$O$55,"&gt;="&amp;B276)=0,"비용 설정 필요",IF(COUNTIFS('3_채널별_비용설정'!$C$6:$C$55,C276,'3_채널별_비용설정'!$D$6:$D$55,"&lt;="&amp;B276,'3_채널별_비용설정'!$O$6:$O$55,"&gt;="&amp;B276)&gt;1,"기간 중복 확인","정상"))))</f>
      </c>
      <c r="K276" s="15" t="str">
        <f>IF(J276="","",IF(J276&lt;&gt;"정상","비용 설정 필요",SUMIFS('3_채널별_비용설정'!$F$6:$F$55,'3_채널별_비용설정'!$C$6:$C$55,C276,'3_채널별_비용설정'!$D$6:$D$55,"&lt;="&amp;B276,'3_채널별_비용설정'!$O$6:$O$55,"&gt;="&amp;B276)))</f>
      </c>
      <c r="L276" s="12" t="str">
        <f>IF(J276="","",IF(J276&lt;&gt;"정상","비용 설정 필요",ROUND(G276*K276,0)))</f>
      </c>
      <c r="M276" s="12" t="str">
        <f>IF(J276="","",IF(J276&lt;&gt;"정상","비용 설정 필요",SUMIFS('3_채널별_비용설정'!$L$6:$L$55,'3_채널별_비용설정'!$C$6:$C$55,C276,'3_채널별_비용설정'!$D$6:$D$55,"&lt;="&amp;B276,'3_채널별_비용설정'!$O$6:$O$55,"&gt;="&amp;B276)))</f>
      </c>
      <c r="N276" s="12" t="str">
        <f>IF(J276="","",IF(J276&lt;&gt;"정상","비용 설정 필요",SUMIFS('3_채널별_비용설정'!$M$6:$M$55,'3_채널별_비용설정'!$C$6:$C$55,C276,'3_채널별_비용설정'!$D$6:$D$55,"&lt;="&amp;B276,'3_채널별_비용설정'!$O$6:$O$55,"&gt;="&amp;B276)))</f>
      </c>
      <c r="O276" s="12" t="str">
        <f>IF(J276="","",IF(J276&lt;&gt;"정상","비용 설정 필요",(D276*M276)+(E276*N276)))</f>
      </c>
      <c r="P276" s="12" t="str">
        <f>IF(J276="","",IF(J276&lt;&gt;"정상","비용 설정 필요",L276+O276+H276))</f>
      </c>
      <c r="Q276" s="13" t="str">
        <f>IF(J276="","",IF(J276&lt;&gt;"정상","비용 설정 필요",G276-P276))</f>
      </c>
      <c r="R276" s="14" t="str">
        <f>IF(J276="","",IF(J276&lt;&gt;"정상","비용 설정 필요",IFERROR(Q276/G276,0)))</f>
      </c>
    </row>
    <row r="277">
      <c r="B277" s="7"/>
      <c r="C277" s="5"/>
      <c r="D277" s="8"/>
      <c r="E277" s="8"/>
      <c r="F277" s="12" t="str">
        <f>IF(AND(B277="",C277=""),"",SUM(D277:E277))</f>
      </c>
      <c r="G277" s="8"/>
      <c r="H277" s="8"/>
      <c r="I277" s="6"/>
      <c r="J277" s="10" t="str">
        <f>IF(AND(B277="",C277=""),"",IF(OR(B277="",C277=""),"비용 설정 필요",IF(COUNTIFS('3_채널별_비용설정'!$C$6:$C$55,C277,'3_채널별_비용설정'!$D$6:$D$55,"&lt;="&amp;B277,'3_채널별_비용설정'!$O$6:$O$55,"&gt;="&amp;B277)=0,"비용 설정 필요",IF(COUNTIFS('3_채널별_비용설정'!$C$6:$C$55,C277,'3_채널별_비용설정'!$D$6:$D$55,"&lt;="&amp;B277,'3_채널별_비용설정'!$O$6:$O$55,"&gt;="&amp;B277)&gt;1,"기간 중복 확인","정상"))))</f>
      </c>
      <c r="K277" s="15" t="str">
        <f>IF(J277="","",IF(J277&lt;&gt;"정상","비용 설정 필요",SUMIFS('3_채널별_비용설정'!$F$6:$F$55,'3_채널별_비용설정'!$C$6:$C$55,C277,'3_채널별_비용설정'!$D$6:$D$55,"&lt;="&amp;B277,'3_채널별_비용설정'!$O$6:$O$55,"&gt;="&amp;B277)))</f>
      </c>
      <c r="L277" s="12" t="str">
        <f>IF(J277="","",IF(J277&lt;&gt;"정상","비용 설정 필요",ROUND(G277*K277,0)))</f>
      </c>
      <c r="M277" s="12" t="str">
        <f>IF(J277="","",IF(J277&lt;&gt;"정상","비용 설정 필요",SUMIFS('3_채널별_비용설정'!$L$6:$L$55,'3_채널별_비용설정'!$C$6:$C$55,C277,'3_채널별_비용설정'!$D$6:$D$55,"&lt;="&amp;B277,'3_채널별_비용설정'!$O$6:$O$55,"&gt;="&amp;B277)))</f>
      </c>
      <c r="N277" s="12" t="str">
        <f>IF(J277="","",IF(J277&lt;&gt;"정상","비용 설정 필요",SUMIFS('3_채널별_비용설정'!$M$6:$M$55,'3_채널별_비용설정'!$C$6:$C$55,C277,'3_채널별_비용설정'!$D$6:$D$55,"&lt;="&amp;B277,'3_채널별_비용설정'!$O$6:$O$55,"&gt;="&amp;B277)))</f>
      </c>
      <c r="O277" s="12" t="str">
        <f>IF(J277="","",IF(J277&lt;&gt;"정상","비용 설정 필요",(D277*M277)+(E277*N277)))</f>
      </c>
      <c r="P277" s="12" t="str">
        <f>IF(J277="","",IF(J277&lt;&gt;"정상","비용 설정 필요",L277+O277+H277))</f>
      </c>
      <c r="Q277" s="13" t="str">
        <f>IF(J277="","",IF(J277&lt;&gt;"정상","비용 설정 필요",G277-P277))</f>
      </c>
      <c r="R277" s="14" t="str">
        <f>IF(J277="","",IF(J277&lt;&gt;"정상","비용 설정 필요",IFERROR(Q277/G277,0)))</f>
      </c>
    </row>
    <row r="278">
      <c r="B278" s="7"/>
      <c r="C278" s="5"/>
      <c r="D278" s="8"/>
      <c r="E278" s="8"/>
      <c r="F278" s="12" t="str">
        <f>IF(AND(B278="",C278=""),"",SUM(D278:E278))</f>
      </c>
      <c r="G278" s="8"/>
      <c r="H278" s="8"/>
      <c r="I278" s="6"/>
      <c r="J278" s="10" t="str">
        <f>IF(AND(B278="",C278=""),"",IF(OR(B278="",C278=""),"비용 설정 필요",IF(COUNTIFS('3_채널별_비용설정'!$C$6:$C$55,C278,'3_채널별_비용설정'!$D$6:$D$55,"&lt;="&amp;B278,'3_채널별_비용설정'!$O$6:$O$55,"&gt;="&amp;B278)=0,"비용 설정 필요",IF(COUNTIFS('3_채널별_비용설정'!$C$6:$C$55,C278,'3_채널별_비용설정'!$D$6:$D$55,"&lt;="&amp;B278,'3_채널별_비용설정'!$O$6:$O$55,"&gt;="&amp;B278)&gt;1,"기간 중복 확인","정상"))))</f>
      </c>
      <c r="K278" s="15" t="str">
        <f>IF(J278="","",IF(J278&lt;&gt;"정상","비용 설정 필요",SUMIFS('3_채널별_비용설정'!$F$6:$F$55,'3_채널별_비용설정'!$C$6:$C$55,C278,'3_채널별_비용설정'!$D$6:$D$55,"&lt;="&amp;B278,'3_채널별_비용설정'!$O$6:$O$55,"&gt;="&amp;B278)))</f>
      </c>
      <c r="L278" s="12" t="str">
        <f>IF(J278="","",IF(J278&lt;&gt;"정상","비용 설정 필요",ROUND(G278*K278,0)))</f>
      </c>
      <c r="M278" s="12" t="str">
        <f>IF(J278="","",IF(J278&lt;&gt;"정상","비용 설정 필요",SUMIFS('3_채널별_비용설정'!$L$6:$L$55,'3_채널별_비용설정'!$C$6:$C$55,C278,'3_채널별_비용설정'!$D$6:$D$55,"&lt;="&amp;B278,'3_채널별_비용설정'!$O$6:$O$55,"&gt;="&amp;B278)))</f>
      </c>
      <c r="N278" s="12" t="str">
        <f>IF(J278="","",IF(J278&lt;&gt;"정상","비용 설정 필요",SUMIFS('3_채널별_비용설정'!$M$6:$M$55,'3_채널별_비용설정'!$C$6:$C$55,C278,'3_채널별_비용설정'!$D$6:$D$55,"&lt;="&amp;B278,'3_채널별_비용설정'!$O$6:$O$55,"&gt;="&amp;B278)))</f>
      </c>
      <c r="O278" s="12" t="str">
        <f>IF(J278="","",IF(J278&lt;&gt;"정상","비용 설정 필요",(D278*M278)+(E278*N278)))</f>
      </c>
      <c r="P278" s="12" t="str">
        <f>IF(J278="","",IF(J278&lt;&gt;"정상","비용 설정 필요",L278+O278+H278))</f>
      </c>
      <c r="Q278" s="13" t="str">
        <f>IF(J278="","",IF(J278&lt;&gt;"정상","비용 설정 필요",G278-P278))</f>
      </c>
      <c r="R278" s="14" t="str">
        <f>IF(J278="","",IF(J278&lt;&gt;"정상","비용 설정 필요",IFERROR(Q278/G278,0)))</f>
      </c>
    </row>
    <row r="279">
      <c r="B279" s="7"/>
      <c r="C279" s="5"/>
      <c r="D279" s="8"/>
      <c r="E279" s="8"/>
      <c r="F279" s="12" t="str">
        <f>IF(AND(B279="",C279=""),"",SUM(D279:E279))</f>
      </c>
      <c r="G279" s="8"/>
      <c r="H279" s="8"/>
      <c r="I279" s="6"/>
      <c r="J279" s="10" t="str">
        <f>IF(AND(B279="",C279=""),"",IF(OR(B279="",C279=""),"비용 설정 필요",IF(COUNTIFS('3_채널별_비용설정'!$C$6:$C$55,C279,'3_채널별_비용설정'!$D$6:$D$55,"&lt;="&amp;B279,'3_채널별_비용설정'!$O$6:$O$55,"&gt;="&amp;B279)=0,"비용 설정 필요",IF(COUNTIFS('3_채널별_비용설정'!$C$6:$C$55,C279,'3_채널별_비용설정'!$D$6:$D$55,"&lt;="&amp;B279,'3_채널별_비용설정'!$O$6:$O$55,"&gt;="&amp;B279)&gt;1,"기간 중복 확인","정상"))))</f>
      </c>
      <c r="K279" s="15" t="str">
        <f>IF(J279="","",IF(J279&lt;&gt;"정상","비용 설정 필요",SUMIFS('3_채널별_비용설정'!$F$6:$F$55,'3_채널별_비용설정'!$C$6:$C$55,C279,'3_채널별_비용설정'!$D$6:$D$55,"&lt;="&amp;B279,'3_채널별_비용설정'!$O$6:$O$55,"&gt;="&amp;B279)))</f>
      </c>
      <c r="L279" s="12" t="str">
        <f>IF(J279="","",IF(J279&lt;&gt;"정상","비용 설정 필요",ROUND(G279*K279,0)))</f>
      </c>
      <c r="M279" s="12" t="str">
        <f>IF(J279="","",IF(J279&lt;&gt;"정상","비용 설정 필요",SUMIFS('3_채널별_비용설정'!$L$6:$L$55,'3_채널별_비용설정'!$C$6:$C$55,C279,'3_채널별_비용설정'!$D$6:$D$55,"&lt;="&amp;B279,'3_채널별_비용설정'!$O$6:$O$55,"&gt;="&amp;B279)))</f>
      </c>
      <c r="N279" s="12" t="str">
        <f>IF(J279="","",IF(J279&lt;&gt;"정상","비용 설정 필요",SUMIFS('3_채널별_비용설정'!$M$6:$M$55,'3_채널별_비용설정'!$C$6:$C$55,C279,'3_채널별_비용설정'!$D$6:$D$55,"&lt;="&amp;B279,'3_채널별_비용설정'!$O$6:$O$55,"&gt;="&amp;B279)))</f>
      </c>
      <c r="O279" s="12" t="str">
        <f>IF(J279="","",IF(J279&lt;&gt;"정상","비용 설정 필요",(D279*M279)+(E279*N279)))</f>
      </c>
      <c r="P279" s="12" t="str">
        <f>IF(J279="","",IF(J279&lt;&gt;"정상","비용 설정 필요",L279+O279+H279))</f>
      </c>
      <c r="Q279" s="13" t="str">
        <f>IF(J279="","",IF(J279&lt;&gt;"정상","비용 설정 필요",G279-P279))</f>
      </c>
      <c r="R279" s="14" t="str">
        <f>IF(J279="","",IF(J279&lt;&gt;"정상","비용 설정 필요",IFERROR(Q279/G279,0)))</f>
      </c>
    </row>
    <row r="280">
      <c r="B280" s="7"/>
      <c r="C280" s="5"/>
      <c r="D280" s="8"/>
      <c r="E280" s="8"/>
      <c r="F280" s="12" t="str">
        <f>IF(AND(B280="",C280=""),"",SUM(D280:E280))</f>
      </c>
      <c r="G280" s="8"/>
      <c r="H280" s="8"/>
      <c r="I280" s="6"/>
      <c r="J280" s="10" t="str">
        <f>IF(AND(B280="",C280=""),"",IF(OR(B280="",C280=""),"비용 설정 필요",IF(COUNTIFS('3_채널별_비용설정'!$C$6:$C$55,C280,'3_채널별_비용설정'!$D$6:$D$55,"&lt;="&amp;B280,'3_채널별_비용설정'!$O$6:$O$55,"&gt;="&amp;B280)=0,"비용 설정 필요",IF(COUNTIFS('3_채널별_비용설정'!$C$6:$C$55,C280,'3_채널별_비용설정'!$D$6:$D$55,"&lt;="&amp;B280,'3_채널별_비용설정'!$O$6:$O$55,"&gt;="&amp;B280)&gt;1,"기간 중복 확인","정상"))))</f>
      </c>
      <c r="K280" s="15" t="str">
        <f>IF(J280="","",IF(J280&lt;&gt;"정상","비용 설정 필요",SUMIFS('3_채널별_비용설정'!$F$6:$F$55,'3_채널별_비용설정'!$C$6:$C$55,C280,'3_채널별_비용설정'!$D$6:$D$55,"&lt;="&amp;B280,'3_채널별_비용설정'!$O$6:$O$55,"&gt;="&amp;B280)))</f>
      </c>
      <c r="L280" s="12" t="str">
        <f>IF(J280="","",IF(J280&lt;&gt;"정상","비용 설정 필요",ROUND(G280*K280,0)))</f>
      </c>
      <c r="M280" s="12" t="str">
        <f>IF(J280="","",IF(J280&lt;&gt;"정상","비용 설정 필요",SUMIFS('3_채널별_비용설정'!$L$6:$L$55,'3_채널별_비용설정'!$C$6:$C$55,C280,'3_채널별_비용설정'!$D$6:$D$55,"&lt;="&amp;B280,'3_채널별_비용설정'!$O$6:$O$55,"&gt;="&amp;B280)))</f>
      </c>
      <c r="N280" s="12" t="str">
        <f>IF(J280="","",IF(J280&lt;&gt;"정상","비용 설정 필요",SUMIFS('3_채널별_비용설정'!$M$6:$M$55,'3_채널별_비용설정'!$C$6:$C$55,C280,'3_채널별_비용설정'!$D$6:$D$55,"&lt;="&amp;B280,'3_채널별_비용설정'!$O$6:$O$55,"&gt;="&amp;B280)))</f>
      </c>
      <c r="O280" s="12" t="str">
        <f>IF(J280="","",IF(J280&lt;&gt;"정상","비용 설정 필요",(D280*M280)+(E280*N280)))</f>
      </c>
      <c r="P280" s="12" t="str">
        <f>IF(J280="","",IF(J280&lt;&gt;"정상","비용 설정 필요",L280+O280+H280))</f>
      </c>
      <c r="Q280" s="13" t="str">
        <f>IF(J280="","",IF(J280&lt;&gt;"정상","비용 설정 필요",G280-P280))</f>
      </c>
      <c r="R280" s="14" t="str">
        <f>IF(J280="","",IF(J280&lt;&gt;"정상","비용 설정 필요",IFERROR(Q280/G280,0)))</f>
      </c>
    </row>
    <row r="281">
      <c r="B281" s="7"/>
      <c r="C281" s="5"/>
      <c r="D281" s="8"/>
      <c r="E281" s="8"/>
      <c r="F281" s="12" t="str">
        <f>IF(AND(B281="",C281=""),"",SUM(D281:E281))</f>
      </c>
      <c r="G281" s="8"/>
      <c r="H281" s="8"/>
      <c r="I281" s="6"/>
      <c r="J281" s="10" t="str">
        <f>IF(AND(B281="",C281=""),"",IF(OR(B281="",C281=""),"비용 설정 필요",IF(COUNTIFS('3_채널별_비용설정'!$C$6:$C$55,C281,'3_채널별_비용설정'!$D$6:$D$55,"&lt;="&amp;B281,'3_채널별_비용설정'!$O$6:$O$55,"&gt;="&amp;B281)=0,"비용 설정 필요",IF(COUNTIFS('3_채널별_비용설정'!$C$6:$C$55,C281,'3_채널별_비용설정'!$D$6:$D$55,"&lt;="&amp;B281,'3_채널별_비용설정'!$O$6:$O$55,"&gt;="&amp;B281)&gt;1,"기간 중복 확인","정상"))))</f>
      </c>
      <c r="K281" s="15" t="str">
        <f>IF(J281="","",IF(J281&lt;&gt;"정상","비용 설정 필요",SUMIFS('3_채널별_비용설정'!$F$6:$F$55,'3_채널별_비용설정'!$C$6:$C$55,C281,'3_채널별_비용설정'!$D$6:$D$55,"&lt;="&amp;B281,'3_채널별_비용설정'!$O$6:$O$55,"&gt;="&amp;B281)))</f>
      </c>
      <c r="L281" s="12" t="str">
        <f>IF(J281="","",IF(J281&lt;&gt;"정상","비용 설정 필요",ROUND(G281*K281,0)))</f>
      </c>
      <c r="M281" s="12" t="str">
        <f>IF(J281="","",IF(J281&lt;&gt;"정상","비용 설정 필요",SUMIFS('3_채널별_비용설정'!$L$6:$L$55,'3_채널별_비용설정'!$C$6:$C$55,C281,'3_채널별_비용설정'!$D$6:$D$55,"&lt;="&amp;B281,'3_채널별_비용설정'!$O$6:$O$55,"&gt;="&amp;B281)))</f>
      </c>
      <c r="N281" s="12" t="str">
        <f>IF(J281="","",IF(J281&lt;&gt;"정상","비용 설정 필요",SUMIFS('3_채널별_비용설정'!$M$6:$M$55,'3_채널별_비용설정'!$C$6:$C$55,C281,'3_채널별_비용설정'!$D$6:$D$55,"&lt;="&amp;B281,'3_채널별_비용설정'!$O$6:$O$55,"&gt;="&amp;B281)))</f>
      </c>
      <c r="O281" s="12" t="str">
        <f>IF(J281="","",IF(J281&lt;&gt;"정상","비용 설정 필요",(D281*M281)+(E281*N281)))</f>
      </c>
      <c r="P281" s="12" t="str">
        <f>IF(J281="","",IF(J281&lt;&gt;"정상","비용 설정 필요",L281+O281+H281))</f>
      </c>
      <c r="Q281" s="13" t="str">
        <f>IF(J281="","",IF(J281&lt;&gt;"정상","비용 설정 필요",G281-P281))</f>
      </c>
      <c r="R281" s="14" t="str">
        <f>IF(J281="","",IF(J281&lt;&gt;"정상","비용 설정 필요",IFERROR(Q281/G281,0)))</f>
      </c>
    </row>
    <row r="282">
      <c r="B282" s="7"/>
      <c r="C282" s="5"/>
      <c r="D282" s="8"/>
      <c r="E282" s="8"/>
      <c r="F282" s="12" t="str">
        <f>IF(AND(B282="",C282=""),"",SUM(D282:E282))</f>
      </c>
      <c r="G282" s="8"/>
      <c r="H282" s="8"/>
      <c r="I282" s="6"/>
      <c r="J282" s="10" t="str">
        <f>IF(AND(B282="",C282=""),"",IF(OR(B282="",C282=""),"비용 설정 필요",IF(COUNTIFS('3_채널별_비용설정'!$C$6:$C$55,C282,'3_채널별_비용설정'!$D$6:$D$55,"&lt;="&amp;B282,'3_채널별_비용설정'!$O$6:$O$55,"&gt;="&amp;B282)=0,"비용 설정 필요",IF(COUNTIFS('3_채널별_비용설정'!$C$6:$C$55,C282,'3_채널별_비용설정'!$D$6:$D$55,"&lt;="&amp;B282,'3_채널별_비용설정'!$O$6:$O$55,"&gt;="&amp;B282)&gt;1,"기간 중복 확인","정상"))))</f>
      </c>
      <c r="K282" s="15" t="str">
        <f>IF(J282="","",IF(J282&lt;&gt;"정상","비용 설정 필요",SUMIFS('3_채널별_비용설정'!$F$6:$F$55,'3_채널별_비용설정'!$C$6:$C$55,C282,'3_채널별_비용설정'!$D$6:$D$55,"&lt;="&amp;B282,'3_채널별_비용설정'!$O$6:$O$55,"&gt;="&amp;B282)))</f>
      </c>
      <c r="L282" s="12" t="str">
        <f>IF(J282="","",IF(J282&lt;&gt;"정상","비용 설정 필요",ROUND(G282*K282,0)))</f>
      </c>
      <c r="M282" s="12" t="str">
        <f>IF(J282="","",IF(J282&lt;&gt;"정상","비용 설정 필요",SUMIFS('3_채널별_비용설정'!$L$6:$L$55,'3_채널별_비용설정'!$C$6:$C$55,C282,'3_채널별_비용설정'!$D$6:$D$55,"&lt;="&amp;B282,'3_채널별_비용설정'!$O$6:$O$55,"&gt;="&amp;B282)))</f>
      </c>
      <c r="N282" s="12" t="str">
        <f>IF(J282="","",IF(J282&lt;&gt;"정상","비용 설정 필요",SUMIFS('3_채널별_비용설정'!$M$6:$M$55,'3_채널별_비용설정'!$C$6:$C$55,C282,'3_채널별_비용설정'!$D$6:$D$55,"&lt;="&amp;B282,'3_채널별_비용설정'!$O$6:$O$55,"&gt;="&amp;B282)))</f>
      </c>
      <c r="O282" s="12" t="str">
        <f>IF(J282="","",IF(J282&lt;&gt;"정상","비용 설정 필요",(D282*M282)+(E282*N282)))</f>
      </c>
      <c r="P282" s="12" t="str">
        <f>IF(J282="","",IF(J282&lt;&gt;"정상","비용 설정 필요",L282+O282+H282))</f>
      </c>
      <c r="Q282" s="13" t="str">
        <f>IF(J282="","",IF(J282&lt;&gt;"정상","비용 설정 필요",G282-P282))</f>
      </c>
      <c r="R282" s="14" t="str">
        <f>IF(J282="","",IF(J282&lt;&gt;"정상","비용 설정 필요",IFERROR(Q282/G282,0)))</f>
      </c>
    </row>
    <row r="283">
      <c r="B283" s="7"/>
      <c r="C283" s="5"/>
      <c r="D283" s="8"/>
      <c r="E283" s="8"/>
      <c r="F283" s="12" t="str">
        <f>IF(AND(B283="",C283=""),"",SUM(D283:E283))</f>
      </c>
      <c r="G283" s="8"/>
      <c r="H283" s="8"/>
      <c r="I283" s="6"/>
      <c r="J283" s="10" t="str">
        <f>IF(AND(B283="",C283=""),"",IF(OR(B283="",C283=""),"비용 설정 필요",IF(COUNTIFS('3_채널별_비용설정'!$C$6:$C$55,C283,'3_채널별_비용설정'!$D$6:$D$55,"&lt;="&amp;B283,'3_채널별_비용설정'!$O$6:$O$55,"&gt;="&amp;B283)=0,"비용 설정 필요",IF(COUNTIFS('3_채널별_비용설정'!$C$6:$C$55,C283,'3_채널별_비용설정'!$D$6:$D$55,"&lt;="&amp;B283,'3_채널별_비용설정'!$O$6:$O$55,"&gt;="&amp;B283)&gt;1,"기간 중복 확인","정상"))))</f>
      </c>
      <c r="K283" s="15" t="str">
        <f>IF(J283="","",IF(J283&lt;&gt;"정상","비용 설정 필요",SUMIFS('3_채널별_비용설정'!$F$6:$F$55,'3_채널별_비용설정'!$C$6:$C$55,C283,'3_채널별_비용설정'!$D$6:$D$55,"&lt;="&amp;B283,'3_채널별_비용설정'!$O$6:$O$55,"&gt;="&amp;B283)))</f>
      </c>
      <c r="L283" s="12" t="str">
        <f>IF(J283="","",IF(J283&lt;&gt;"정상","비용 설정 필요",ROUND(G283*K283,0)))</f>
      </c>
      <c r="M283" s="12" t="str">
        <f>IF(J283="","",IF(J283&lt;&gt;"정상","비용 설정 필요",SUMIFS('3_채널별_비용설정'!$L$6:$L$55,'3_채널별_비용설정'!$C$6:$C$55,C283,'3_채널별_비용설정'!$D$6:$D$55,"&lt;="&amp;B283,'3_채널별_비용설정'!$O$6:$O$55,"&gt;="&amp;B283)))</f>
      </c>
      <c r="N283" s="12" t="str">
        <f>IF(J283="","",IF(J283&lt;&gt;"정상","비용 설정 필요",SUMIFS('3_채널별_비용설정'!$M$6:$M$55,'3_채널별_비용설정'!$C$6:$C$55,C283,'3_채널별_비용설정'!$D$6:$D$55,"&lt;="&amp;B283,'3_채널별_비용설정'!$O$6:$O$55,"&gt;="&amp;B283)))</f>
      </c>
      <c r="O283" s="12" t="str">
        <f>IF(J283="","",IF(J283&lt;&gt;"정상","비용 설정 필요",(D283*M283)+(E283*N283)))</f>
      </c>
      <c r="P283" s="12" t="str">
        <f>IF(J283="","",IF(J283&lt;&gt;"정상","비용 설정 필요",L283+O283+H283))</f>
      </c>
      <c r="Q283" s="13" t="str">
        <f>IF(J283="","",IF(J283&lt;&gt;"정상","비용 설정 필요",G283-P283))</f>
      </c>
      <c r="R283" s="14" t="str">
        <f>IF(J283="","",IF(J283&lt;&gt;"정상","비용 설정 필요",IFERROR(Q283/G283,0)))</f>
      </c>
    </row>
    <row r="284">
      <c r="B284" s="7"/>
      <c r="C284" s="5"/>
      <c r="D284" s="8"/>
      <c r="E284" s="8"/>
      <c r="F284" s="12" t="str">
        <f>IF(AND(B284="",C284=""),"",SUM(D284:E284))</f>
      </c>
      <c r="G284" s="8"/>
      <c r="H284" s="8"/>
      <c r="I284" s="6"/>
      <c r="J284" s="10" t="str">
        <f>IF(AND(B284="",C284=""),"",IF(OR(B284="",C284=""),"비용 설정 필요",IF(COUNTIFS('3_채널별_비용설정'!$C$6:$C$55,C284,'3_채널별_비용설정'!$D$6:$D$55,"&lt;="&amp;B284,'3_채널별_비용설정'!$O$6:$O$55,"&gt;="&amp;B284)=0,"비용 설정 필요",IF(COUNTIFS('3_채널별_비용설정'!$C$6:$C$55,C284,'3_채널별_비용설정'!$D$6:$D$55,"&lt;="&amp;B284,'3_채널별_비용설정'!$O$6:$O$55,"&gt;="&amp;B284)&gt;1,"기간 중복 확인","정상"))))</f>
      </c>
      <c r="K284" s="15" t="str">
        <f>IF(J284="","",IF(J284&lt;&gt;"정상","비용 설정 필요",SUMIFS('3_채널별_비용설정'!$F$6:$F$55,'3_채널별_비용설정'!$C$6:$C$55,C284,'3_채널별_비용설정'!$D$6:$D$55,"&lt;="&amp;B284,'3_채널별_비용설정'!$O$6:$O$55,"&gt;="&amp;B284)))</f>
      </c>
      <c r="L284" s="12" t="str">
        <f>IF(J284="","",IF(J284&lt;&gt;"정상","비용 설정 필요",ROUND(G284*K284,0)))</f>
      </c>
      <c r="M284" s="12" t="str">
        <f>IF(J284="","",IF(J284&lt;&gt;"정상","비용 설정 필요",SUMIFS('3_채널별_비용설정'!$L$6:$L$55,'3_채널별_비용설정'!$C$6:$C$55,C284,'3_채널별_비용설정'!$D$6:$D$55,"&lt;="&amp;B284,'3_채널별_비용설정'!$O$6:$O$55,"&gt;="&amp;B284)))</f>
      </c>
      <c r="N284" s="12" t="str">
        <f>IF(J284="","",IF(J284&lt;&gt;"정상","비용 설정 필요",SUMIFS('3_채널별_비용설정'!$M$6:$M$55,'3_채널별_비용설정'!$C$6:$C$55,C284,'3_채널별_비용설정'!$D$6:$D$55,"&lt;="&amp;B284,'3_채널별_비용설정'!$O$6:$O$55,"&gt;="&amp;B284)))</f>
      </c>
      <c r="O284" s="12" t="str">
        <f>IF(J284="","",IF(J284&lt;&gt;"정상","비용 설정 필요",(D284*M284)+(E284*N284)))</f>
      </c>
      <c r="P284" s="12" t="str">
        <f>IF(J284="","",IF(J284&lt;&gt;"정상","비용 설정 필요",L284+O284+H284))</f>
      </c>
      <c r="Q284" s="13" t="str">
        <f>IF(J284="","",IF(J284&lt;&gt;"정상","비용 설정 필요",G284-P284))</f>
      </c>
      <c r="R284" s="14" t="str">
        <f>IF(J284="","",IF(J284&lt;&gt;"정상","비용 설정 필요",IFERROR(Q284/G284,0)))</f>
      </c>
    </row>
    <row r="285">
      <c r="B285" s="7"/>
      <c r="C285" s="5"/>
      <c r="D285" s="8"/>
      <c r="E285" s="8"/>
      <c r="F285" s="12" t="str">
        <f>IF(AND(B285="",C285=""),"",SUM(D285:E285))</f>
      </c>
      <c r="G285" s="8"/>
      <c r="H285" s="8"/>
      <c r="I285" s="6"/>
      <c r="J285" s="10" t="str">
        <f>IF(AND(B285="",C285=""),"",IF(OR(B285="",C285=""),"비용 설정 필요",IF(COUNTIFS('3_채널별_비용설정'!$C$6:$C$55,C285,'3_채널별_비용설정'!$D$6:$D$55,"&lt;="&amp;B285,'3_채널별_비용설정'!$O$6:$O$55,"&gt;="&amp;B285)=0,"비용 설정 필요",IF(COUNTIFS('3_채널별_비용설정'!$C$6:$C$55,C285,'3_채널별_비용설정'!$D$6:$D$55,"&lt;="&amp;B285,'3_채널별_비용설정'!$O$6:$O$55,"&gt;="&amp;B285)&gt;1,"기간 중복 확인","정상"))))</f>
      </c>
      <c r="K285" s="15" t="str">
        <f>IF(J285="","",IF(J285&lt;&gt;"정상","비용 설정 필요",SUMIFS('3_채널별_비용설정'!$F$6:$F$55,'3_채널별_비용설정'!$C$6:$C$55,C285,'3_채널별_비용설정'!$D$6:$D$55,"&lt;="&amp;B285,'3_채널별_비용설정'!$O$6:$O$55,"&gt;="&amp;B285)))</f>
      </c>
      <c r="L285" s="12" t="str">
        <f>IF(J285="","",IF(J285&lt;&gt;"정상","비용 설정 필요",ROUND(G285*K285,0)))</f>
      </c>
      <c r="M285" s="12" t="str">
        <f>IF(J285="","",IF(J285&lt;&gt;"정상","비용 설정 필요",SUMIFS('3_채널별_비용설정'!$L$6:$L$55,'3_채널별_비용설정'!$C$6:$C$55,C285,'3_채널별_비용설정'!$D$6:$D$55,"&lt;="&amp;B285,'3_채널별_비용설정'!$O$6:$O$55,"&gt;="&amp;B285)))</f>
      </c>
      <c r="N285" s="12" t="str">
        <f>IF(J285="","",IF(J285&lt;&gt;"정상","비용 설정 필요",SUMIFS('3_채널별_비용설정'!$M$6:$M$55,'3_채널별_비용설정'!$C$6:$C$55,C285,'3_채널별_비용설정'!$D$6:$D$55,"&lt;="&amp;B285,'3_채널별_비용설정'!$O$6:$O$55,"&gt;="&amp;B285)))</f>
      </c>
      <c r="O285" s="12" t="str">
        <f>IF(J285="","",IF(J285&lt;&gt;"정상","비용 설정 필요",(D285*M285)+(E285*N285)))</f>
      </c>
      <c r="P285" s="12" t="str">
        <f>IF(J285="","",IF(J285&lt;&gt;"정상","비용 설정 필요",L285+O285+H285))</f>
      </c>
      <c r="Q285" s="13" t="str">
        <f>IF(J285="","",IF(J285&lt;&gt;"정상","비용 설정 필요",G285-P285))</f>
      </c>
      <c r="R285" s="14" t="str">
        <f>IF(J285="","",IF(J285&lt;&gt;"정상","비용 설정 필요",IFERROR(Q285/G285,0)))</f>
      </c>
    </row>
    <row r="286">
      <c r="B286" s="7"/>
      <c r="C286" s="5"/>
      <c r="D286" s="8"/>
      <c r="E286" s="8"/>
      <c r="F286" s="12" t="str">
        <f>IF(AND(B286="",C286=""),"",SUM(D286:E286))</f>
      </c>
      <c r="G286" s="8"/>
      <c r="H286" s="8"/>
      <c r="I286" s="6"/>
      <c r="J286" s="10" t="str">
        <f>IF(AND(B286="",C286=""),"",IF(OR(B286="",C286=""),"비용 설정 필요",IF(COUNTIFS('3_채널별_비용설정'!$C$6:$C$55,C286,'3_채널별_비용설정'!$D$6:$D$55,"&lt;="&amp;B286,'3_채널별_비용설정'!$O$6:$O$55,"&gt;="&amp;B286)=0,"비용 설정 필요",IF(COUNTIFS('3_채널별_비용설정'!$C$6:$C$55,C286,'3_채널별_비용설정'!$D$6:$D$55,"&lt;="&amp;B286,'3_채널별_비용설정'!$O$6:$O$55,"&gt;="&amp;B286)&gt;1,"기간 중복 확인","정상"))))</f>
      </c>
      <c r="K286" s="15" t="str">
        <f>IF(J286="","",IF(J286&lt;&gt;"정상","비용 설정 필요",SUMIFS('3_채널별_비용설정'!$F$6:$F$55,'3_채널별_비용설정'!$C$6:$C$55,C286,'3_채널별_비용설정'!$D$6:$D$55,"&lt;="&amp;B286,'3_채널별_비용설정'!$O$6:$O$55,"&gt;="&amp;B286)))</f>
      </c>
      <c r="L286" s="12" t="str">
        <f>IF(J286="","",IF(J286&lt;&gt;"정상","비용 설정 필요",ROUND(G286*K286,0)))</f>
      </c>
      <c r="M286" s="12" t="str">
        <f>IF(J286="","",IF(J286&lt;&gt;"정상","비용 설정 필요",SUMIFS('3_채널별_비용설정'!$L$6:$L$55,'3_채널별_비용설정'!$C$6:$C$55,C286,'3_채널별_비용설정'!$D$6:$D$55,"&lt;="&amp;B286,'3_채널별_비용설정'!$O$6:$O$55,"&gt;="&amp;B286)))</f>
      </c>
      <c r="N286" s="12" t="str">
        <f>IF(J286="","",IF(J286&lt;&gt;"정상","비용 설정 필요",SUMIFS('3_채널별_비용설정'!$M$6:$M$55,'3_채널별_비용설정'!$C$6:$C$55,C286,'3_채널별_비용설정'!$D$6:$D$55,"&lt;="&amp;B286,'3_채널별_비용설정'!$O$6:$O$55,"&gt;="&amp;B286)))</f>
      </c>
      <c r="O286" s="12" t="str">
        <f>IF(J286="","",IF(J286&lt;&gt;"정상","비용 설정 필요",(D286*M286)+(E286*N286)))</f>
      </c>
      <c r="P286" s="12" t="str">
        <f>IF(J286="","",IF(J286&lt;&gt;"정상","비용 설정 필요",L286+O286+H286))</f>
      </c>
      <c r="Q286" s="13" t="str">
        <f>IF(J286="","",IF(J286&lt;&gt;"정상","비용 설정 필요",G286-P286))</f>
      </c>
      <c r="R286" s="14" t="str">
        <f>IF(J286="","",IF(J286&lt;&gt;"정상","비용 설정 필요",IFERROR(Q286/G286,0)))</f>
      </c>
    </row>
    <row r="287">
      <c r="B287" s="7"/>
      <c r="C287" s="5"/>
      <c r="D287" s="8"/>
      <c r="E287" s="8"/>
      <c r="F287" s="12" t="str">
        <f>IF(AND(B287="",C287=""),"",SUM(D287:E287))</f>
      </c>
      <c r="G287" s="8"/>
      <c r="H287" s="8"/>
      <c r="I287" s="6"/>
      <c r="J287" s="10" t="str">
        <f>IF(AND(B287="",C287=""),"",IF(OR(B287="",C287=""),"비용 설정 필요",IF(COUNTIFS('3_채널별_비용설정'!$C$6:$C$55,C287,'3_채널별_비용설정'!$D$6:$D$55,"&lt;="&amp;B287,'3_채널별_비용설정'!$O$6:$O$55,"&gt;="&amp;B287)=0,"비용 설정 필요",IF(COUNTIFS('3_채널별_비용설정'!$C$6:$C$55,C287,'3_채널별_비용설정'!$D$6:$D$55,"&lt;="&amp;B287,'3_채널별_비용설정'!$O$6:$O$55,"&gt;="&amp;B287)&gt;1,"기간 중복 확인","정상"))))</f>
      </c>
      <c r="K287" s="15" t="str">
        <f>IF(J287="","",IF(J287&lt;&gt;"정상","비용 설정 필요",SUMIFS('3_채널별_비용설정'!$F$6:$F$55,'3_채널별_비용설정'!$C$6:$C$55,C287,'3_채널별_비용설정'!$D$6:$D$55,"&lt;="&amp;B287,'3_채널별_비용설정'!$O$6:$O$55,"&gt;="&amp;B287)))</f>
      </c>
      <c r="L287" s="12" t="str">
        <f>IF(J287="","",IF(J287&lt;&gt;"정상","비용 설정 필요",ROUND(G287*K287,0)))</f>
      </c>
      <c r="M287" s="12" t="str">
        <f>IF(J287="","",IF(J287&lt;&gt;"정상","비용 설정 필요",SUMIFS('3_채널별_비용설정'!$L$6:$L$55,'3_채널별_비용설정'!$C$6:$C$55,C287,'3_채널별_비용설정'!$D$6:$D$55,"&lt;="&amp;B287,'3_채널별_비용설정'!$O$6:$O$55,"&gt;="&amp;B287)))</f>
      </c>
      <c r="N287" s="12" t="str">
        <f>IF(J287="","",IF(J287&lt;&gt;"정상","비용 설정 필요",SUMIFS('3_채널별_비용설정'!$M$6:$M$55,'3_채널별_비용설정'!$C$6:$C$55,C287,'3_채널별_비용설정'!$D$6:$D$55,"&lt;="&amp;B287,'3_채널별_비용설정'!$O$6:$O$55,"&gt;="&amp;B287)))</f>
      </c>
      <c r="O287" s="12" t="str">
        <f>IF(J287="","",IF(J287&lt;&gt;"정상","비용 설정 필요",(D287*M287)+(E287*N287)))</f>
      </c>
      <c r="P287" s="12" t="str">
        <f>IF(J287="","",IF(J287&lt;&gt;"정상","비용 설정 필요",L287+O287+H287))</f>
      </c>
      <c r="Q287" s="13" t="str">
        <f>IF(J287="","",IF(J287&lt;&gt;"정상","비용 설정 필요",G287-P287))</f>
      </c>
      <c r="R287" s="14" t="str">
        <f>IF(J287="","",IF(J287&lt;&gt;"정상","비용 설정 필요",IFERROR(Q287/G287,0)))</f>
      </c>
    </row>
    <row r="288">
      <c r="B288" s="7"/>
      <c r="C288" s="5"/>
      <c r="D288" s="8"/>
      <c r="E288" s="8"/>
      <c r="F288" s="12" t="str">
        <f>IF(AND(B288="",C288=""),"",SUM(D288:E288))</f>
      </c>
      <c r="G288" s="8"/>
      <c r="H288" s="8"/>
      <c r="I288" s="6"/>
      <c r="J288" s="10" t="str">
        <f>IF(AND(B288="",C288=""),"",IF(OR(B288="",C288=""),"비용 설정 필요",IF(COUNTIFS('3_채널별_비용설정'!$C$6:$C$55,C288,'3_채널별_비용설정'!$D$6:$D$55,"&lt;="&amp;B288,'3_채널별_비용설정'!$O$6:$O$55,"&gt;="&amp;B288)=0,"비용 설정 필요",IF(COUNTIFS('3_채널별_비용설정'!$C$6:$C$55,C288,'3_채널별_비용설정'!$D$6:$D$55,"&lt;="&amp;B288,'3_채널별_비용설정'!$O$6:$O$55,"&gt;="&amp;B288)&gt;1,"기간 중복 확인","정상"))))</f>
      </c>
      <c r="K288" s="15" t="str">
        <f>IF(J288="","",IF(J288&lt;&gt;"정상","비용 설정 필요",SUMIFS('3_채널별_비용설정'!$F$6:$F$55,'3_채널별_비용설정'!$C$6:$C$55,C288,'3_채널별_비용설정'!$D$6:$D$55,"&lt;="&amp;B288,'3_채널별_비용설정'!$O$6:$O$55,"&gt;="&amp;B288)))</f>
      </c>
      <c r="L288" s="12" t="str">
        <f>IF(J288="","",IF(J288&lt;&gt;"정상","비용 설정 필요",ROUND(G288*K288,0)))</f>
      </c>
      <c r="M288" s="12" t="str">
        <f>IF(J288="","",IF(J288&lt;&gt;"정상","비용 설정 필요",SUMIFS('3_채널별_비용설정'!$L$6:$L$55,'3_채널별_비용설정'!$C$6:$C$55,C288,'3_채널별_비용설정'!$D$6:$D$55,"&lt;="&amp;B288,'3_채널별_비용설정'!$O$6:$O$55,"&gt;="&amp;B288)))</f>
      </c>
      <c r="N288" s="12" t="str">
        <f>IF(J288="","",IF(J288&lt;&gt;"정상","비용 설정 필요",SUMIFS('3_채널별_비용설정'!$M$6:$M$55,'3_채널별_비용설정'!$C$6:$C$55,C288,'3_채널별_비용설정'!$D$6:$D$55,"&lt;="&amp;B288,'3_채널별_비용설정'!$O$6:$O$55,"&gt;="&amp;B288)))</f>
      </c>
      <c r="O288" s="12" t="str">
        <f>IF(J288="","",IF(J288&lt;&gt;"정상","비용 설정 필요",(D288*M288)+(E288*N288)))</f>
      </c>
      <c r="P288" s="12" t="str">
        <f>IF(J288="","",IF(J288&lt;&gt;"정상","비용 설정 필요",L288+O288+H288))</f>
      </c>
      <c r="Q288" s="13" t="str">
        <f>IF(J288="","",IF(J288&lt;&gt;"정상","비용 설정 필요",G288-P288))</f>
      </c>
      <c r="R288" s="14" t="str">
        <f>IF(J288="","",IF(J288&lt;&gt;"정상","비용 설정 필요",IFERROR(Q288/G288,0)))</f>
      </c>
    </row>
    <row r="289">
      <c r="B289" s="7"/>
      <c r="C289" s="5"/>
      <c r="D289" s="8"/>
      <c r="E289" s="8"/>
      <c r="F289" s="12" t="str">
        <f>IF(AND(B289="",C289=""),"",SUM(D289:E289))</f>
      </c>
      <c r="G289" s="8"/>
      <c r="H289" s="8"/>
      <c r="I289" s="6"/>
      <c r="J289" s="10" t="str">
        <f>IF(AND(B289="",C289=""),"",IF(OR(B289="",C289=""),"비용 설정 필요",IF(COUNTIFS('3_채널별_비용설정'!$C$6:$C$55,C289,'3_채널별_비용설정'!$D$6:$D$55,"&lt;="&amp;B289,'3_채널별_비용설정'!$O$6:$O$55,"&gt;="&amp;B289)=0,"비용 설정 필요",IF(COUNTIFS('3_채널별_비용설정'!$C$6:$C$55,C289,'3_채널별_비용설정'!$D$6:$D$55,"&lt;="&amp;B289,'3_채널별_비용설정'!$O$6:$O$55,"&gt;="&amp;B289)&gt;1,"기간 중복 확인","정상"))))</f>
      </c>
      <c r="K289" s="15" t="str">
        <f>IF(J289="","",IF(J289&lt;&gt;"정상","비용 설정 필요",SUMIFS('3_채널별_비용설정'!$F$6:$F$55,'3_채널별_비용설정'!$C$6:$C$55,C289,'3_채널별_비용설정'!$D$6:$D$55,"&lt;="&amp;B289,'3_채널별_비용설정'!$O$6:$O$55,"&gt;="&amp;B289)))</f>
      </c>
      <c r="L289" s="12" t="str">
        <f>IF(J289="","",IF(J289&lt;&gt;"정상","비용 설정 필요",ROUND(G289*K289,0)))</f>
      </c>
      <c r="M289" s="12" t="str">
        <f>IF(J289="","",IF(J289&lt;&gt;"정상","비용 설정 필요",SUMIFS('3_채널별_비용설정'!$L$6:$L$55,'3_채널별_비용설정'!$C$6:$C$55,C289,'3_채널별_비용설정'!$D$6:$D$55,"&lt;="&amp;B289,'3_채널별_비용설정'!$O$6:$O$55,"&gt;="&amp;B289)))</f>
      </c>
      <c r="N289" s="12" t="str">
        <f>IF(J289="","",IF(J289&lt;&gt;"정상","비용 설정 필요",SUMIFS('3_채널별_비용설정'!$M$6:$M$55,'3_채널별_비용설정'!$C$6:$C$55,C289,'3_채널별_비용설정'!$D$6:$D$55,"&lt;="&amp;B289,'3_채널별_비용설정'!$O$6:$O$55,"&gt;="&amp;B289)))</f>
      </c>
      <c r="O289" s="12" t="str">
        <f>IF(J289="","",IF(J289&lt;&gt;"정상","비용 설정 필요",(D289*M289)+(E289*N289)))</f>
      </c>
      <c r="P289" s="12" t="str">
        <f>IF(J289="","",IF(J289&lt;&gt;"정상","비용 설정 필요",L289+O289+H289))</f>
      </c>
      <c r="Q289" s="13" t="str">
        <f>IF(J289="","",IF(J289&lt;&gt;"정상","비용 설정 필요",G289-P289))</f>
      </c>
      <c r="R289" s="14" t="str">
        <f>IF(J289="","",IF(J289&lt;&gt;"정상","비용 설정 필요",IFERROR(Q289/G289,0)))</f>
      </c>
    </row>
    <row r="290">
      <c r="B290" s="7"/>
      <c r="C290" s="5"/>
      <c r="D290" s="8"/>
      <c r="E290" s="8"/>
      <c r="F290" s="12" t="str">
        <f>IF(AND(B290="",C290=""),"",SUM(D290:E290))</f>
      </c>
      <c r="G290" s="8"/>
      <c r="H290" s="8"/>
      <c r="I290" s="6"/>
      <c r="J290" s="10" t="str">
        <f>IF(AND(B290="",C290=""),"",IF(OR(B290="",C290=""),"비용 설정 필요",IF(COUNTIFS('3_채널별_비용설정'!$C$6:$C$55,C290,'3_채널별_비용설정'!$D$6:$D$55,"&lt;="&amp;B290,'3_채널별_비용설정'!$O$6:$O$55,"&gt;="&amp;B290)=0,"비용 설정 필요",IF(COUNTIFS('3_채널별_비용설정'!$C$6:$C$55,C290,'3_채널별_비용설정'!$D$6:$D$55,"&lt;="&amp;B290,'3_채널별_비용설정'!$O$6:$O$55,"&gt;="&amp;B290)&gt;1,"기간 중복 확인","정상"))))</f>
      </c>
      <c r="K290" s="15" t="str">
        <f>IF(J290="","",IF(J290&lt;&gt;"정상","비용 설정 필요",SUMIFS('3_채널별_비용설정'!$F$6:$F$55,'3_채널별_비용설정'!$C$6:$C$55,C290,'3_채널별_비용설정'!$D$6:$D$55,"&lt;="&amp;B290,'3_채널별_비용설정'!$O$6:$O$55,"&gt;="&amp;B290)))</f>
      </c>
      <c r="L290" s="12" t="str">
        <f>IF(J290="","",IF(J290&lt;&gt;"정상","비용 설정 필요",ROUND(G290*K290,0)))</f>
      </c>
      <c r="M290" s="12" t="str">
        <f>IF(J290="","",IF(J290&lt;&gt;"정상","비용 설정 필요",SUMIFS('3_채널별_비용설정'!$L$6:$L$55,'3_채널별_비용설정'!$C$6:$C$55,C290,'3_채널별_비용설정'!$D$6:$D$55,"&lt;="&amp;B290,'3_채널별_비용설정'!$O$6:$O$55,"&gt;="&amp;B290)))</f>
      </c>
      <c r="N290" s="12" t="str">
        <f>IF(J290="","",IF(J290&lt;&gt;"정상","비용 설정 필요",SUMIFS('3_채널별_비용설정'!$M$6:$M$55,'3_채널별_비용설정'!$C$6:$C$55,C290,'3_채널별_비용설정'!$D$6:$D$55,"&lt;="&amp;B290,'3_채널별_비용설정'!$O$6:$O$55,"&gt;="&amp;B290)))</f>
      </c>
      <c r="O290" s="12" t="str">
        <f>IF(J290="","",IF(J290&lt;&gt;"정상","비용 설정 필요",(D290*M290)+(E290*N290)))</f>
      </c>
      <c r="P290" s="12" t="str">
        <f>IF(J290="","",IF(J290&lt;&gt;"정상","비용 설정 필요",L290+O290+H290))</f>
      </c>
      <c r="Q290" s="13" t="str">
        <f>IF(J290="","",IF(J290&lt;&gt;"정상","비용 설정 필요",G290-P290))</f>
      </c>
      <c r="R290" s="14" t="str">
        <f>IF(J290="","",IF(J290&lt;&gt;"정상","비용 설정 필요",IFERROR(Q290/G290,0)))</f>
      </c>
    </row>
    <row r="291">
      <c r="B291" s="7"/>
      <c r="C291" s="5"/>
      <c r="D291" s="8"/>
      <c r="E291" s="8"/>
      <c r="F291" s="12" t="str">
        <f>IF(AND(B291="",C291=""),"",SUM(D291:E291))</f>
      </c>
      <c r="G291" s="8"/>
      <c r="H291" s="8"/>
      <c r="I291" s="6"/>
      <c r="J291" s="10" t="str">
        <f>IF(AND(B291="",C291=""),"",IF(OR(B291="",C291=""),"비용 설정 필요",IF(COUNTIFS('3_채널별_비용설정'!$C$6:$C$55,C291,'3_채널별_비용설정'!$D$6:$D$55,"&lt;="&amp;B291,'3_채널별_비용설정'!$O$6:$O$55,"&gt;="&amp;B291)=0,"비용 설정 필요",IF(COUNTIFS('3_채널별_비용설정'!$C$6:$C$55,C291,'3_채널별_비용설정'!$D$6:$D$55,"&lt;="&amp;B291,'3_채널별_비용설정'!$O$6:$O$55,"&gt;="&amp;B291)&gt;1,"기간 중복 확인","정상"))))</f>
      </c>
      <c r="K291" s="15" t="str">
        <f>IF(J291="","",IF(J291&lt;&gt;"정상","비용 설정 필요",SUMIFS('3_채널별_비용설정'!$F$6:$F$55,'3_채널별_비용설정'!$C$6:$C$55,C291,'3_채널별_비용설정'!$D$6:$D$55,"&lt;="&amp;B291,'3_채널별_비용설정'!$O$6:$O$55,"&gt;="&amp;B291)))</f>
      </c>
      <c r="L291" s="12" t="str">
        <f>IF(J291="","",IF(J291&lt;&gt;"정상","비용 설정 필요",ROUND(G291*K291,0)))</f>
      </c>
      <c r="M291" s="12" t="str">
        <f>IF(J291="","",IF(J291&lt;&gt;"정상","비용 설정 필요",SUMIFS('3_채널별_비용설정'!$L$6:$L$55,'3_채널별_비용설정'!$C$6:$C$55,C291,'3_채널별_비용설정'!$D$6:$D$55,"&lt;="&amp;B291,'3_채널별_비용설정'!$O$6:$O$55,"&gt;="&amp;B291)))</f>
      </c>
      <c r="N291" s="12" t="str">
        <f>IF(J291="","",IF(J291&lt;&gt;"정상","비용 설정 필요",SUMIFS('3_채널별_비용설정'!$M$6:$M$55,'3_채널별_비용설정'!$C$6:$C$55,C291,'3_채널별_비용설정'!$D$6:$D$55,"&lt;="&amp;B291,'3_채널별_비용설정'!$O$6:$O$55,"&gt;="&amp;B291)))</f>
      </c>
      <c r="O291" s="12" t="str">
        <f>IF(J291="","",IF(J291&lt;&gt;"정상","비용 설정 필요",(D291*M291)+(E291*N291)))</f>
      </c>
      <c r="P291" s="12" t="str">
        <f>IF(J291="","",IF(J291&lt;&gt;"정상","비용 설정 필요",L291+O291+H291))</f>
      </c>
      <c r="Q291" s="13" t="str">
        <f>IF(J291="","",IF(J291&lt;&gt;"정상","비용 설정 필요",G291-P291))</f>
      </c>
      <c r="R291" s="14" t="str">
        <f>IF(J291="","",IF(J291&lt;&gt;"정상","비용 설정 필요",IFERROR(Q291/G291,0)))</f>
      </c>
    </row>
    <row r="292">
      <c r="B292" s="7"/>
      <c r="C292" s="5"/>
      <c r="D292" s="8"/>
      <c r="E292" s="8"/>
      <c r="F292" s="12" t="str">
        <f>IF(AND(B292="",C292=""),"",SUM(D292:E292))</f>
      </c>
      <c r="G292" s="8"/>
      <c r="H292" s="8"/>
      <c r="I292" s="6"/>
      <c r="J292" s="10" t="str">
        <f>IF(AND(B292="",C292=""),"",IF(OR(B292="",C292=""),"비용 설정 필요",IF(COUNTIFS('3_채널별_비용설정'!$C$6:$C$55,C292,'3_채널별_비용설정'!$D$6:$D$55,"&lt;="&amp;B292,'3_채널별_비용설정'!$O$6:$O$55,"&gt;="&amp;B292)=0,"비용 설정 필요",IF(COUNTIFS('3_채널별_비용설정'!$C$6:$C$55,C292,'3_채널별_비용설정'!$D$6:$D$55,"&lt;="&amp;B292,'3_채널별_비용설정'!$O$6:$O$55,"&gt;="&amp;B292)&gt;1,"기간 중복 확인","정상"))))</f>
      </c>
      <c r="K292" s="15" t="str">
        <f>IF(J292="","",IF(J292&lt;&gt;"정상","비용 설정 필요",SUMIFS('3_채널별_비용설정'!$F$6:$F$55,'3_채널별_비용설정'!$C$6:$C$55,C292,'3_채널별_비용설정'!$D$6:$D$55,"&lt;="&amp;B292,'3_채널별_비용설정'!$O$6:$O$55,"&gt;="&amp;B292)))</f>
      </c>
      <c r="L292" s="12" t="str">
        <f>IF(J292="","",IF(J292&lt;&gt;"정상","비용 설정 필요",ROUND(G292*K292,0)))</f>
      </c>
      <c r="M292" s="12" t="str">
        <f>IF(J292="","",IF(J292&lt;&gt;"정상","비용 설정 필요",SUMIFS('3_채널별_비용설정'!$L$6:$L$55,'3_채널별_비용설정'!$C$6:$C$55,C292,'3_채널별_비용설정'!$D$6:$D$55,"&lt;="&amp;B292,'3_채널별_비용설정'!$O$6:$O$55,"&gt;="&amp;B292)))</f>
      </c>
      <c r="N292" s="12" t="str">
        <f>IF(J292="","",IF(J292&lt;&gt;"정상","비용 설정 필요",SUMIFS('3_채널별_비용설정'!$M$6:$M$55,'3_채널별_비용설정'!$C$6:$C$55,C292,'3_채널별_비용설정'!$D$6:$D$55,"&lt;="&amp;B292,'3_채널별_비용설정'!$O$6:$O$55,"&gt;="&amp;B292)))</f>
      </c>
      <c r="O292" s="12" t="str">
        <f>IF(J292="","",IF(J292&lt;&gt;"정상","비용 설정 필요",(D292*M292)+(E292*N292)))</f>
      </c>
      <c r="P292" s="12" t="str">
        <f>IF(J292="","",IF(J292&lt;&gt;"정상","비용 설정 필요",L292+O292+H292))</f>
      </c>
      <c r="Q292" s="13" t="str">
        <f>IF(J292="","",IF(J292&lt;&gt;"정상","비용 설정 필요",G292-P292))</f>
      </c>
      <c r="R292" s="14" t="str">
        <f>IF(J292="","",IF(J292&lt;&gt;"정상","비용 설정 필요",IFERROR(Q292/G292,0)))</f>
      </c>
    </row>
    <row r="293">
      <c r="B293" s="7"/>
      <c r="C293" s="5"/>
      <c r="D293" s="8"/>
      <c r="E293" s="8"/>
      <c r="F293" s="12" t="str">
        <f>IF(AND(B293="",C293=""),"",SUM(D293:E293))</f>
      </c>
      <c r="G293" s="8"/>
      <c r="H293" s="8"/>
      <c r="I293" s="6"/>
      <c r="J293" s="10" t="str">
        <f>IF(AND(B293="",C293=""),"",IF(OR(B293="",C293=""),"비용 설정 필요",IF(COUNTIFS('3_채널별_비용설정'!$C$6:$C$55,C293,'3_채널별_비용설정'!$D$6:$D$55,"&lt;="&amp;B293,'3_채널별_비용설정'!$O$6:$O$55,"&gt;="&amp;B293)=0,"비용 설정 필요",IF(COUNTIFS('3_채널별_비용설정'!$C$6:$C$55,C293,'3_채널별_비용설정'!$D$6:$D$55,"&lt;="&amp;B293,'3_채널별_비용설정'!$O$6:$O$55,"&gt;="&amp;B293)&gt;1,"기간 중복 확인","정상"))))</f>
      </c>
      <c r="K293" s="15" t="str">
        <f>IF(J293="","",IF(J293&lt;&gt;"정상","비용 설정 필요",SUMIFS('3_채널별_비용설정'!$F$6:$F$55,'3_채널별_비용설정'!$C$6:$C$55,C293,'3_채널별_비용설정'!$D$6:$D$55,"&lt;="&amp;B293,'3_채널별_비용설정'!$O$6:$O$55,"&gt;="&amp;B293)))</f>
      </c>
      <c r="L293" s="12" t="str">
        <f>IF(J293="","",IF(J293&lt;&gt;"정상","비용 설정 필요",ROUND(G293*K293,0)))</f>
      </c>
      <c r="M293" s="12" t="str">
        <f>IF(J293="","",IF(J293&lt;&gt;"정상","비용 설정 필요",SUMIFS('3_채널별_비용설정'!$L$6:$L$55,'3_채널별_비용설정'!$C$6:$C$55,C293,'3_채널별_비용설정'!$D$6:$D$55,"&lt;="&amp;B293,'3_채널별_비용설정'!$O$6:$O$55,"&gt;="&amp;B293)))</f>
      </c>
      <c r="N293" s="12" t="str">
        <f>IF(J293="","",IF(J293&lt;&gt;"정상","비용 설정 필요",SUMIFS('3_채널별_비용설정'!$M$6:$M$55,'3_채널별_비용설정'!$C$6:$C$55,C293,'3_채널별_비용설정'!$D$6:$D$55,"&lt;="&amp;B293,'3_채널별_비용설정'!$O$6:$O$55,"&gt;="&amp;B293)))</f>
      </c>
      <c r="O293" s="12" t="str">
        <f>IF(J293="","",IF(J293&lt;&gt;"정상","비용 설정 필요",(D293*M293)+(E293*N293)))</f>
      </c>
      <c r="P293" s="12" t="str">
        <f>IF(J293="","",IF(J293&lt;&gt;"정상","비용 설정 필요",L293+O293+H293))</f>
      </c>
      <c r="Q293" s="13" t="str">
        <f>IF(J293="","",IF(J293&lt;&gt;"정상","비용 설정 필요",G293-P293))</f>
      </c>
      <c r="R293" s="14" t="str">
        <f>IF(J293="","",IF(J293&lt;&gt;"정상","비용 설정 필요",IFERROR(Q293/G293,0)))</f>
      </c>
    </row>
    <row r="294">
      <c r="B294" s="7"/>
      <c r="C294" s="5"/>
      <c r="D294" s="8"/>
      <c r="E294" s="8"/>
      <c r="F294" s="12" t="str">
        <f>IF(AND(B294="",C294=""),"",SUM(D294:E294))</f>
      </c>
      <c r="G294" s="8"/>
      <c r="H294" s="8"/>
      <c r="I294" s="6"/>
      <c r="J294" s="10" t="str">
        <f>IF(AND(B294="",C294=""),"",IF(OR(B294="",C294=""),"비용 설정 필요",IF(COUNTIFS('3_채널별_비용설정'!$C$6:$C$55,C294,'3_채널별_비용설정'!$D$6:$D$55,"&lt;="&amp;B294,'3_채널별_비용설정'!$O$6:$O$55,"&gt;="&amp;B294)=0,"비용 설정 필요",IF(COUNTIFS('3_채널별_비용설정'!$C$6:$C$55,C294,'3_채널별_비용설정'!$D$6:$D$55,"&lt;="&amp;B294,'3_채널별_비용설정'!$O$6:$O$55,"&gt;="&amp;B294)&gt;1,"기간 중복 확인","정상"))))</f>
      </c>
      <c r="K294" s="15" t="str">
        <f>IF(J294="","",IF(J294&lt;&gt;"정상","비용 설정 필요",SUMIFS('3_채널별_비용설정'!$F$6:$F$55,'3_채널별_비용설정'!$C$6:$C$55,C294,'3_채널별_비용설정'!$D$6:$D$55,"&lt;="&amp;B294,'3_채널별_비용설정'!$O$6:$O$55,"&gt;="&amp;B294)))</f>
      </c>
      <c r="L294" s="12" t="str">
        <f>IF(J294="","",IF(J294&lt;&gt;"정상","비용 설정 필요",ROUND(G294*K294,0)))</f>
      </c>
      <c r="M294" s="12" t="str">
        <f>IF(J294="","",IF(J294&lt;&gt;"정상","비용 설정 필요",SUMIFS('3_채널별_비용설정'!$L$6:$L$55,'3_채널별_비용설정'!$C$6:$C$55,C294,'3_채널별_비용설정'!$D$6:$D$55,"&lt;="&amp;B294,'3_채널별_비용설정'!$O$6:$O$55,"&gt;="&amp;B294)))</f>
      </c>
      <c r="N294" s="12" t="str">
        <f>IF(J294="","",IF(J294&lt;&gt;"정상","비용 설정 필요",SUMIFS('3_채널별_비용설정'!$M$6:$M$55,'3_채널별_비용설정'!$C$6:$C$55,C294,'3_채널별_비용설정'!$D$6:$D$55,"&lt;="&amp;B294,'3_채널별_비용설정'!$O$6:$O$55,"&gt;="&amp;B294)))</f>
      </c>
      <c r="O294" s="12" t="str">
        <f>IF(J294="","",IF(J294&lt;&gt;"정상","비용 설정 필요",(D294*M294)+(E294*N294)))</f>
      </c>
      <c r="P294" s="12" t="str">
        <f>IF(J294="","",IF(J294&lt;&gt;"정상","비용 설정 필요",L294+O294+H294))</f>
      </c>
      <c r="Q294" s="13" t="str">
        <f>IF(J294="","",IF(J294&lt;&gt;"정상","비용 설정 필요",G294-P294))</f>
      </c>
      <c r="R294" s="14" t="str">
        <f>IF(J294="","",IF(J294&lt;&gt;"정상","비용 설정 필요",IFERROR(Q294/G294,0)))</f>
      </c>
    </row>
    <row r="295">
      <c r="B295" s="7"/>
      <c r="C295" s="5"/>
      <c r="D295" s="8"/>
      <c r="E295" s="8"/>
      <c r="F295" s="12" t="str">
        <f>IF(AND(B295="",C295=""),"",SUM(D295:E295))</f>
      </c>
      <c r="G295" s="8"/>
      <c r="H295" s="8"/>
      <c r="I295" s="6"/>
      <c r="J295" s="10" t="str">
        <f>IF(AND(B295="",C295=""),"",IF(OR(B295="",C295=""),"비용 설정 필요",IF(COUNTIFS('3_채널별_비용설정'!$C$6:$C$55,C295,'3_채널별_비용설정'!$D$6:$D$55,"&lt;="&amp;B295,'3_채널별_비용설정'!$O$6:$O$55,"&gt;="&amp;B295)=0,"비용 설정 필요",IF(COUNTIFS('3_채널별_비용설정'!$C$6:$C$55,C295,'3_채널별_비용설정'!$D$6:$D$55,"&lt;="&amp;B295,'3_채널별_비용설정'!$O$6:$O$55,"&gt;="&amp;B295)&gt;1,"기간 중복 확인","정상"))))</f>
      </c>
      <c r="K295" s="15" t="str">
        <f>IF(J295="","",IF(J295&lt;&gt;"정상","비용 설정 필요",SUMIFS('3_채널별_비용설정'!$F$6:$F$55,'3_채널별_비용설정'!$C$6:$C$55,C295,'3_채널별_비용설정'!$D$6:$D$55,"&lt;="&amp;B295,'3_채널별_비용설정'!$O$6:$O$55,"&gt;="&amp;B295)))</f>
      </c>
      <c r="L295" s="12" t="str">
        <f>IF(J295="","",IF(J295&lt;&gt;"정상","비용 설정 필요",ROUND(G295*K295,0)))</f>
      </c>
      <c r="M295" s="12" t="str">
        <f>IF(J295="","",IF(J295&lt;&gt;"정상","비용 설정 필요",SUMIFS('3_채널별_비용설정'!$L$6:$L$55,'3_채널별_비용설정'!$C$6:$C$55,C295,'3_채널별_비용설정'!$D$6:$D$55,"&lt;="&amp;B295,'3_채널별_비용설정'!$O$6:$O$55,"&gt;="&amp;B295)))</f>
      </c>
      <c r="N295" s="12" t="str">
        <f>IF(J295="","",IF(J295&lt;&gt;"정상","비용 설정 필요",SUMIFS('3_채널별_비용설정'!$M$6:$M$55,'3_채널별_비용설정'!$C$6:$C$55,C295,'3_채널별_비용설정'!$D$6:$D$55,"&lt;="&amp;B295,'3_채널별_비용설정'!$O$6:$O$55,"&gt;="&amp;B295)))</f>
      </c>
      <c r="O295" s="12" t="str">
        <f>IF(J295="","",IF(J295&lt;&gt;"정상","비용 설정 필요",(D295*M295)+(E295*N295)))</f>
      </c>
      <c r="P295" s="12" t="str">
        <f>IF(J295="","",IF(J295&lt;&gt;"정상","비용 설정 필요",L295+O295+H295))</f>
      </c>
      <c r="Q295" s="13" t="str">
        <f>IF(J295="","",IF(J295&lt;&gt;"정상","비용 설정 필요",G295-P295))</f>
      </c>
      <c r="R295" s="14" t="str">
        <f>IF(J295="","",IF(J295&lt;&gt;"정상","비용 설정 필요",IFERROR(Q295/G295,0)))</f>
      </c>
    </row>
    <row r="296">
      <c r="B296" s="7"/>
      <c r="C296" s="5"/>
      <c r="D296" s="8"/>
      <c r="E296" s="8"/>
      <c r="F296" s="12" t="str">
        <f>IF(AND(B296="",C296=""),"",SUM(D296:E296))</f>
      </c>
      <c r="G296" s="8"/>
      <c r="H296" s="8"/>
      <c r="I296" s="6"/>
      <c r="J296" s="10" t="str">
        <f>IF(AND(B296="",C296=""),"",IF(OR(B296="",C296=""),"비용 설정 필요",IF(COUNTIFS('3_채널별_비용설정'!$C$6:$C$55,C296,'3_채널별_비용설정'!$D$6:$D$55,"&lt;="&amp;B296,'3_채널별_비용설정'!$O$6:$O$55,"&gt;="&amp;B296)=0,"비용 설정 필요",IF(COUNTIFS('3_채널별_비용설정'!$C$6:$C$55,C296,'3_채널별_비용설정'!$D$6:$D$55,"&lt;="&amp;B296,'3_채널별_비용설정'!$O$6:$O$55,"&gt;="&amp;B296)&gt;1,"기간 중복 확인","정상"))))</f>
      </c>
      <c r="K296" s="15" t="str">
        <f>IF(J296="","",IF(J296&lt;&gt;"정상","비용 설정 필요",SUMIFS('3_채널별_비용설정'!$F$6:$F$55,'3_채널별_비용설정'!$C$6:$C$55,C296,'3_채널별_비용설정'!$D$6:$D$55,"&lt;="&amp;B296,'3_채널별_비용설정'!$O$6:$O$55,"&gt;="&amp;B296)))</f>
      </c>
      <c r="L296" s="12" t="str">
        <f>IF(J296="","",IF(J296&lt;&gt;"정상","비용 설정 필요",ROUND(G296*K296,0)))</f>
      </c>
      <c r="M296" s="12" t="str">
        <f>IF(J296="","",IF(J296&lt;&gt;"정상","비용 설정 필요",SUMIFS('3_채널별_비용설정'!$L$6:$L$55,'3_채널별_비용설정'!$C$6:$C$55,C296,'3_채널별_비용설정'!$D$6:$D$55,"&lt;="&amp;B296,'3_채널별_비용설정'!$O$6:$O$55,"&gt;="&amp;B296)))</f>
      </c>
      <c r="N296" s="12" t="str">
        <f>IF(J296="","",IF(J296&lt;&gt;"정상","비용 설정 필요",SUMIFS('3_채널별_비용설정'!$M$6:$M$55,'3_채널별_비용설정'!$C$6:$C$55,C296,'3_채널별_비용설정'!$D$6:$D$55,"&lt;="&amp;B296,'3_채널별_비용설정'!$O$6:$O$55,"&gt;="&amp;B296)))</f>
      </c>
      <c r="O296" s="12" t="str">
        <f>IF(J296="","",IF(J296&lt;&gt;"정상","비용 설정 필요",(D296*M296)+(E296*N296)))</f>
      </c>
      <c r="P296" s="12" t="str">
        <f>IF(J296="","",IF(J296&lt;&gt;"정상","비용 설정 필요",L296+O296+H296))</f>
      </c>
      <c r="Q296" s="13" t="str">
        <f>IF(J296="","",IF(J296&lt;&gt;"정상","비용 설정 필요",G296-P296))</f>
      </c>
      <c r="R296" s="14" t="str">
        <f>IF(J296="","",IF(J296&lt;&gt;"정상","비용 설정 필요",IFERROR(Q296/G296,0)))</f>
      </c>
    </row>
    <row r="297">
      <c r="B297" s="7"/>
      <c r="C297" s="5"/>
      <c r="D297" s="8"/>
      <c r="E297" s="8"/>
      <c r="F297" s="12" t="str">
        <f>IF(AND(B297="",C297=""),"",SUM(D297:E297))</f>
      </c>
      <c r="G297" s="8"/>
      <c r="H297" s="8"/>
      <c r="I297" s="6"/>
      <c r="J297" s="10" t="str">
        <f>IF(AND(B297="",C297=""),"",IF(OR(B297="",C297=""),"비용 설정 필요",IF(COUNTIFS('3_채널별_비용설정'!$C$6:$C$55,C297,'3_채널별_비용설정'!$D$6:$D$55,"&lt;="&amp;B297,'3_채널별_비용설정'!$O$6:$O$55,"&gt;="&amp;B297)=0,"비용 설정 필요",IF(COUNTIFS('3_채널별_비용설정'!$C$6:$C$55,C297,'3_채널별_비용설정'!$D$6:$D$55,"&lt;="&amp;B297,'3_채널별_비용설정'!$O$6:$O$55,"&gt;="&amp;B297)&gt;1,"기간 중복 확인","정상"))))</f>
      </c>
      <c r="K297" s="15" t="str">
        <f>IF(J297="","",IF(J297&lt;&gt;"정상","비용 설정 필요",SUMIFS('3_채널별_비용설정'!$F$6:$F$55,'3_채널별_비용설정'!$C$6:$C$55,C297,'3_채널별_비용설정'!$D$6:$D$55,"&lt;="&amp;B297,'3_채널별_비용설정'!$O$6:$O$55,"&gt;="&amp;B297)))</f>
      </c>
      <c r="L297" s="12" t="str">
        <f>IF(J297="","",IF(J297&lt;&gt;"정상","비용 설정 필요",ROUND(G297*K297,0)))</f>
      </c>
      <c r="M297" s="12" t="str">
        <f>IF(J297="","",IF(J297&lt;&gt;"정상","비용 설정 필요",SUMIFS('3_채널별_비용설정'!$L$6:$L$55,'3_채널별_비용설정'!$C$6:$C$55,C297,'3_채널별_비용설정'!$D$6:$D$55,"&lt;="&amp;B297,'3_채널별_비용설정'!$O$6:$O$55,"&gt;="&amp;B297)))</f>
      </c>
      <c r="N297" s="12" t="str">
        <f>IF(J297="","",IF(J297&lt;&gt;"정상","비용 설정 필요",SUMIFS('3_채널별_비용설정'!$M$6:$M$55,'3_채널별_비용설정'!$C$6:$C$55,C297,'3_채널별_비용설정'!$D$6:$D$55,"&lt;="&amp;B297,'3_채널별_비용설정'!$O$6:$O$55,"&gt;="&amp;B297)))</f>
      </c>
      <c r="O297" s="12" t="str">
        <f>IF(J297="","",IF(J297&lt;&gt;"정상","비용 설정 필요",(D297*M297)+(E297*N297)))</f>
      </c>
      <c r="P297" s="12" t="str">
        <f>IF(J297="","",IF(J297&lt;&gt;"정상","비용 설정 필요",L297+O297+H297))</f>
      </c>
      <c r="Q297" s="13" t="str">
        <f>IF(J297="","",IF(J297&lt;&gt;"정상","비용 설정 필요",G297-P297))</f>
      </c>
      <c r="R297" s="14" t="str">
        <f>IF(J297="","",IF(J297&lt;&gt;"정상","비용 설정 필요",IFERROR(Q297/G297,0)))</f>
      </c>
    </row>
    <row r="298">
      <c r="B298" s="7"/>
      <c r="C298" s="5"/>
      <c r="D298" s="8"/>
      <c r="E298" s="8"/>
      <c r="F298" s="12" t="str">
        <f>IF(AND(B298="",C298=""),"",SUM(D298:E298))</f>
      </c>
      <c r="G298" s="8"/>
      <c r="H298" s="8"/>
      <c r="I298" s="6"/>
      <c r="J298" s="10" t="str">
        <f>IF(AND(B298="",C298=""),"",IF(OR(B298="",C298=""),"비용 설정 필요",IF(COUNTIFS('3_채널별_비용설정'!$C$6:$C$55,C298,'3_채널별_비용설정'!$D$6:$D$55,"&lt;="&amp;B298,'3_채널별_비용설정'!$O$6:$O$55,"&gt;="&amp;B298)=0,"비용 설정 필요",IF(COUNTIFS('3_채널별_비용설정'!$C$6:$C$55,C298,'3_채널별_비용설정'!$D$6:$D$55,"&lt;="&amp;B298,'3_채널별_비용설정'!$O$6:$O$55,"&gt;="&amp;B298)&gt;1,"기간 중복 확인","정상"))))</f>
      </c>
      <c r="K298" s="15" t="str">
        <f>IF(J298="","",IF(J298&lt;&gt;"정상","비용 설정 필요",SUMIFS('3_채널별_비용설정'!$F$6:$F$55,'3_채널별_비용설정'!$C$6:$C$55,C298,'3_채널별_비용설정'!$D$6:$D$55,"&lt;="&amp;B298,'3_채널별_비용설정'!$O$6:$O$55,"&gt;="&amp;B298)))</f>
      </c>
      <c r="L298" s="12" t="str">
        <f>IF(J298="","",IF(J298&lt;&gt;"정상","비용 설정 필요",ROUND(G298*K298,0)))</f>
      </c>
      <c r="M298" s="12" t="str">
        <f>IF(J298="","",IF(J298&lt;&gt;"정상","비용 설정 필요",SUMIFS('3_채널별_비용설정'!$L$6:$L$55,'3_채널별_비용설정'!$C$6:$C$55,C298,'3_채널별_비용설정'!$D$6:$D$55,"&lt;="&amp;B298,'3_채널별_비용설정'!$O$6:$O$55,"&gt;="&amp;B298)))</f>
      </c>
      <c r="N298" s="12" t="str">
        <f>IF(J298="","",IF(J298&lt;&gt;"정상","비용 설정 필요",SUMIFS('3_채널별_비용설정'!$M$6:$M$55,'3_채널별_비용설정'!$C$6:$C$55,C298,'3_채널별_비용설정'!$D$6:$D$55,"&lt;="&amp;B298,'3_채널별_비용설정'!$O$6:$O$55,"&gt;="&amp;B298)))</f>
      </c>
      <c r="O298" s="12" t="str">
        <f>IF(J298="","",IF(J298&lt;&gt;"정상","비용 설정 필요",(D298*M298)+(E298*N298)))</f>
      </c>
      <c r="P298" s="12" t="str">
        <f>IF(J298="","",IF(J298&lt;&gt;"정상","비용 설정 필요",L298+O298+H298))</f>
      </c>
      <c r="Q298" s="13" t="str">
        <f>IF(J298="","",IF(J298&lt;&gt;"정상","비용 설정 필요",G298-P298))</f>
      </c>
      <c r="R298" s="14" t="str">
        <f>IF(J298="","",IF(J298&lt;&gt;"정상","비용 설정 필요",IFERROR(Q298/G298,0)))</f>
      </c>
    </row>
    <row r="299">
      <c r="B299" s="7"/>
      <c r="C299" s="5"/>
      <c r="D299" s="8"/>
      <c r="E299" s="8"/>
      <c r="F299" s="12" t="str">
        <f>IF(AND(B299="",C299=""),"",SUM(D299:E299))</f>
      </c>
      <c r="G299" s="8"/>
      <c r="H299" s="8"/>
      <c r="I299" s="6"/>
      <c r="J299" s="10" t="str">
        <f>IF(AND(B299="",C299=""),"",IF(OR(B299="",C299=""),"비용 설정 필요",IF(COUNTIFS('3_채널별_비용설정'!$C$6:$C$55,C299,'3_채널별_비용설정'!$D$6:$D$55,"&lt;="&amp;B299,'3_채널별_비용설정'!$O$6:$O$55,"&gt;="&amp;B299)=0,"비용 설정 필요",IF(COUNTIFS('3_채널별_비용설정'!$C$6:$C$55,C299,'3_채널별_비용설정'!$D$6:$D$55,"&lt;="&amp;B299,'3_채널별_비용설정'!$O$6:$O$55,"&gt;="&amp;B299)&gt;1,"기간 중복 확인","정상"))))</f>
      </c>
      <c r="K299" s="15" t="str">
        <f>IF(J299="","",IF(J299&lt;&gt;"정상","비용 설정 필요",SUMIFS('3_채널별_비용설정'!$F$6:$F$55,'3_채널별_비용설정'!$C$6:$C$55,C299,'3_채널별_비용설정'!$D$6:$D$55,"&lt;="&amp;B299,'3_채널별_비용설정'!$O$6:$O$55,"&gt;="&amp;B299)))</f>
      </c>
      <c r="L299" s="12" t="str">
        <f>IF(J299="","",IF(J299&lt;&gt;"정상","비용 설정 필요",ROUND(G299*K299,0)))</f>
      </c>
      <c r="M299" s="12" t="str">
        <f>IF(J299="","",IF(J299&lt;&gt;"정상","비용 설정 필요",SUMIFS('3_채널별_비용설정'!$L$6:$L$55,'3_채널별_비용설정'!$C$6:$C$55,C299,'3_채널별_비용설정'!$D$6:$D$55,"&lt;="&amp;B299,'3_채널별_비용설정'!$O$6:$O$55,"&gt;="&amp;B299)))</f>
      </c>
      <c r="N299" s="12" t="str">
        <f>IF(J299="","",IF(J299&lt;&gt;"정상","비용 설정 필요",SUMIFS('3_채널별_비용설정'!$M$6:$M$55,'3_채널별_비용설정'!$C$6:$C$55,C299,'3_채널별_비용설정'!$D$6:$D$55,"&lt;="&amp;B299,'3_채널별_비용설정'!$O$6:$O$55,"&gt;="&amp;B299)))</f>
      </c>
      <c r="O299" s="12" t="str">
        <f>IF(J299="","",IF(J299&lt;&gt;"정상","비용 설정 필요",(D299*M299)+(E299*N299)))</f>
      </c>
      <c r="P299" s="12" t="str">
        <f>IF(J299="","",IF(J299&lt;&gt;"정상","비용 설정 필요",L299+O299+H299))</f>
      </c>
      <c r="Q299" s="13" t="str">
        <f>IF(J299="","",IF(J299&lt;&gt;"정상","비용 설정 필요",G299-P299))</f>
      </c>
      <c r="R299" s="14" t="str">
        <f>IF(J299="","",IF(J299&lt;&gt;"정상","비용 설정 필요",IFERROR(Q299/G299,0)))</f>
      </c>
    </row>
    <row r="300">
      <c r="B300" s="7"/>
      <c r="C300" s="5"/>
      <c r="D300" s="8"/>
      <c r="E300" s="8"/>
      <c r="F300" s="12" t="str">
        <f>IF(AND(B300="",C300=""),"",SUM(D300:E300))</f>
      </c>
      <c r="G300" s="8"/>
      <c r="H300" s="8"/>
      <c r="I300" s="6"/>
      <c r="J300" s="10" t="str">
        <f>IF(AND(B300="",C300=""),"",IF(OR(B300="",C300=""),"비용 설정 필요",IF(COUNTIFS('3_채널별_비용설정'!$C$6:$C$55,C300,'3_채널별_비용설정'!$D$6:$D$55,"&lt;="&amp;B300,'3_채널별_비용설정'!$O$6:$O$55,"&gt;="&amp;B300)=0,"비용 설정 필요",IF(COUNTIFS('3_채널별_비용설정'!$C$6:$C$55,C300,'3_채널별_비용설정'!$D$6:$D$55,"&lt;="&amp;B300,'3_채널별_비용설정'!$O$6:$O$55,"&gt;="&amp;B300)&gt;1,"기간 중복 확인","정상"))))</f>
      </c>
      <c r="K300" s="15" t="str">
        <f>IF(J300="","",IF(J300&lt;&gt;"정상","비용 설정 필요",SUMIFS('3_채널별_비용설정'!$F$6:$F$55,'3_채널별_비용설정'!$C$6:$C$55,C300,'3_채널별_비용설정'!$D$6:$D$55,"&lt;="&amp;B300,'3_채널별_비용설정'!$O$6:$O$55,"&gt;="&amp;B300)))</f>
      </c>
      <c r="L300" s="12" t="str">
        <f>IF(J300="","",IF(J300&lt;&gt;"정상","비용 설정 필요",ROUND(G300*K300,0)))</f>
      </c>
      <c r="M300" s="12" t="str">
        <f>IF(J300="","",IF(J300&lt;&gt;"정상","비용 설정 필요",SUMIFS('3_채널별_비용설정'!$L$6:$L$55,'3_채널별_비용설정'!$C$6:$C$55,C300,'3_채널별_비용설정'!$D$6:$D$55,"&lt;="&amp;B300,'3_채널별_비용설정'!$O$6:$O$55,"&gt;="&amp;B300)))</f>
      </c>
      <c r="N300" s="12" t="str">
        <f>IF(J300="","",IF(J300&lt;&gt;"정상","비용 설정 필요",SUMIFS('3_채널별_비용설정'!$M$6:$M$55,'3_채널별_비용설정'!$C$6:$C$55,C300,'3_채널별_비용설정'!$D$6:$D$55,"&lt;="&amp;B300,'3_채널별_비용설정'!$O$6:$O$55,"&gt;="&amp;B300)))</f>
      </c>
      <c r="O300" s="12" t="str">
        <f>IF(J300="","",IF(J300&lt;&gt;"정상","비용 설정 필요",(D300*M300)+(E300*N300)))</f>
      </c>
      <c r="P300" s="12" t="str">
        <f>IF(J300="","",IF(J300&lt;&gt;"정상","비용 설정 필요",L300+O300+H300))</f>
      </c>
      <c r="Q300" s="13" t="str">
        <f>IF(J300="","",IF(J300&lt;&gt;"정상","비용 설정 필요",G300-P300))</f>
      </c>
      <c r="R300" s="14" t="str">
        <f>IF(J300="","",IF(J300&lt;&gt;"정상","비용 설정 필요",IFERROR(Q300/G300,0)))</f>
      </c>
    </row>
    <row r="301">
      <c r="B301" s="7"/>
      <c r="C301" s="5"/>
      <c r="D301" s="8"/>
      <c r="E301" s="8"/>
      <c r="F301" s="12" t="str">
        <f>IF(AND(B301="",C301=""),"",SUM(D301:E301))</f>
      </c>
      <c r="G301" s="8"/>
      <c r="H301" s="8"/>
      <c r="I301" s="6"/>
      <c r="J301" s="10" t="str">
        <f>IF(AND(B301="",C301=""),"",IF(OR(B301="",C301=""),"비용 설정 필요",IF(COUNTIFS('3_채널별_비용설정'!$C$6:$C$55,C301,'3_채널별_비용설정'!$D$6:$D$55,"&lt;="&amp;B301,'3_채널별_비용설정'!$O$6:$O$55,"&gt;="&amp;B301)=0,"비용 설정 필요",IF(COUNTIFS('3_채널별_비용설정'!$C$6:$C$55,C301,'3_채널별_비용설정'!$D$6:$D$55,"&lt;="&amp;B301,'3_채널별_비용설정'!$O$6:$O$55,"&gt;="&amp;B301)&gt;1,"기간 중복 확인","정상"))))</f>
      </c>
      <c r="K301" s="15" t="str">
        <f>IF(J301="","",IF(J301&lt;&gt;"정상","비용 설정 필요",SUMIFS('3_채널별_비용설정'!$F$6:$F$55,'3_채널별_비용설정'!$C$6:$C$55,C301,'3_채널별_비용설정'!$D$6:$D$55,"&lt;="&amp;B301,'3_채널별_비용설정'!$O$6:$O$55,"&gt;="&amp;B301)))</f>
      </c>
      <c r="L301" s="12" t="str">
        <f>IF(J301="","",IF(J301&lt;&gt;"정상","비용 설정 필요",ROUND(G301*K301,0)))</f>
      </c>
      <c r="M301" s="12" t="str">
        <f>IF(J301="","",IF(J301&lt;&gt;"정상","비용 설정 필요",SUMIFS('3_채널별_비용설정'!$L$6:$L$55,'3_채널별_비용설정'!$C$6:$C$55,C301,'3_채널별_비용설정'!$D$6:$D$55,"&lt;="&amp;B301,'3_채널별_비용설정'!$O$6:$O$55,"&gt;="&amp;B301)))</f>
      </c>
      <c r="N301" s="12" t="str">
        <f>IF(J301="","",IF(J301&lt;&gt;"정상","비용 설정 필요",SUMIFS('3_채널별_비용설정'!$M$6:$M$55,'3_채널별_비용설정'!$C$6:$C$55,C301,'3_채널별_비용설정'!$D$6:$D$55,"&lt;="&amp;B301,'3_채널별_비용설정'!$O$6:$O$55,"&gt;="&amp;B301)))</f>
      </c>
      <c r="O301" s="12" t="str">
        <f>IF(J301="","",IF(J301&lt;&gt;"정상","비용 설정 필요",(D301*M301)+(E301*N301)))</f>
      </c>
      <c r="P301" s="12" t="str">
        <f>IF(J301="","",IF(J301&lt;&gt;"정상","비용 설정 필요",L301+O301+H301))</f>
      </c>
      <c r="Q301" s="13" t="str">
        <f>IF(J301="","",IF(J301&lt;&gt;"정상","비용 설정 필요",G301-P301))</f>
      </c>
      <c r="R301" s="14" t="str">
        <f>IF(J301="","",IF(J301&lt;&gt;"정상","비용 설정 필요",IFERROR(Q301/G301,0)))</f>
      </c>
    </row>
    <row r="302">
      <c r="B302" s="7"/>
      <c r="C302" s="5"/>
      <c r="D302" s="8"/>
      <c r="E302" s="8"/>
      <c r="F302" s="12" t="str">
        <f>IF(AND(B302="",C302=""),"",SUM(D302:E302))</f>
      </c>
      <c r="G302" s="8"/>
      <c r="H302" s="8"/>
      <c r="I302" s="6"/>
      <c r="J302" s="10" t="str">
        <f>IF(AND(B302="",C302=""),"",IF(OR(B302="",C302=""),"비용 설정 필요",IF(COUNTIFS('3_채널별_비용설정'!$C$6:$C$55,C302,'3_채널별_비용설정'!$D$6:$D$55,"&lt;="&amp;B302,'3_채널별_비용설정'!$O$6:$O$55,"&gt;="&amp;B302)=0,"비용 설정 필요",IF(COUNTIFS('3_채널별_비용설정'!$C$6:$C$55,C302,'3_채널별_비용설정'!$D$6:$D$55,"&lt;="&amp;B302,'3_채널별_비용설정'!$O$6:$O$55,"&gt;="&amp;B302)&gt;1,"기간 중복 확인","정상"))))</f>
      </c>
      <c r="K302" s="15" t="str">
        <f>IF(J302="","",IF(J302&lt;&gt;"정상","비용 설정 필요",SUMIFS('3_채널별_비용설정'!$F$6:$F$55,'3_채널별_비용설정'!$C$6:$C$55,C302,'3_채널별_비용설정'!$D$6:$D$55,"&lt;="&amp;B302,'3_채널별_비용설정'!$O$6:$O$55,"&gt;="&amp;B302)))</f>
      </c>
      <c r="L302" s="12" t="str">
        <f>IF(J302="","",IF(J302&lt;&gt;"정상","비용 설정 필요",ROUND(G302*K302,0)))</f>
      </c>
      <c r="M302" s="12" t="str">
        <f>IF(J302="","",IF(J302&lt;&gt;"정상","비용 설정 필요",SUMIFS('3_채널별_비용설정'!$L$6:$L$55,'3_채널별_비용설정'!$C$6:$C$55,C302,'3_채널별_비용설정'!$D$6:$D$55,"&lt;="&amp;B302,'3_채널별_비용설정'!$O$6:$O$55,"&gt;="&amp;B302)))</f>
      </c>
      <c r="N302" s="12" t="str">
        <f>IF(J302="","",IF(J302&lt;&gt;"정상","비용 설정 필요",SUMIFS('3_채널별_비용설정'!$M$6:$M$55,'3_채널별_비용설정'!$C$6:$C$55,C302,'3_채널별_비용설정'!$D$6:$D$55,"&lt;="&amp;B302,'3_채널별_비용설정'!$O$6:$O$55,"&gt;="&amp;B302)))</f>
      </c>
      <c r="O302" s="12" t="str">
        <f>IF(J302="","",IF(J302&lt;&gt;"정상","비용 설정 필요",(D302*M302)+(E302*N302)))</f>
      </c>
      <c r="P302" s="12" t="str">
        <f>IF(J302="","",IF(J302&lt;&gt;"정상","비용 설정 필요",L302+O302+H302))</f>
      </c>
      <c r="Q302" s="13" t="str">
        <f>IF(J302="","",IF(J302&lt;&gt;"정상","비용 설정 필요",G302-P302))</f>
      </c>
      <c r="R302" s="14" t="str">
        <f>IF(J302="","",IF(J302&lt;&gt;"정상","비용 설정 필요",IFERROR(Q302/G302,0)))</f>
      </c>
    </row>
    <row r="303">
      <c r="B303" s="7"/>
      <c r="C303" s="5"/>
      <c r="D303" s="8"/>
      <c r="E303" s="8"/>
      <c r="F303" s="12" t="str">
        <f>IF(AND(B303="",C303=""),"",SUM(D303:E303))</f>
      </c>
      <c r="G303" s="8"/>
      <c r="H303" s="8"/>
      <c r="I303" s="6"/>
      <c r="J303" s="10" t="str">
        <f>IF(AND(B303="",C303=""),"",IF(OR(B303="",C303=""),"비용 설정 필요",IF(COUNTIFS('3_채널별_비용설정'!$C$6:$C$55,C303,'3_채널별_비용설정'!$D$6:$D$55,"&lt;="&amp;B303,'3_채널별_비용설정'!$O$6:$O$55,"&gt;="&amp;B303)=0,"비용 설정 필요",IF(COUNTIFS('3_채널별_비용설정'!$C$6:$C$55,C303,'3_채널별_비용설정'!$D$6:$D$55,"&lt;="&amp;B303,'3_채널별_비용설정'!$O$6:$O$55,"&gt;="&amp;B303)&gt;1,"기간 중복 확인","정상"))))</f>
      </c>
      <c r="K303" s="15" t="str">
        <f>IF(J303="","",IF(J303&lt;&gt;"정상","비용 설정 필요",SUMIFS('3_채널별_비용설정'!$F$6:$F$55,'3_채널별_비용설정'!$C$6:$C$55,C303,'3_채널별_비용설정'!$D$6:$D$55,"&lt;="&amp;B303,'3_채널별_비용설정'!$O$6:$O$55,"&gt;="&amp;B303)))</f>
      </c>
      <c r="L303" s="12" t="str">
        <f>IF(J303="","",IF(J303&lt;&gt;"정상","비용 설정 필요",ROUND(G303*K303,0)))</f>
      </c>
      <c r="M303" s="12" t="str">
        <f>IF(J303="","",IF(J303&lt;&gt;"정상","비용 설정 필요",SUMIFS('3_채널별_비용설정'!$L$6:$L$55,'3_채널별_비용설정'!$C$6:$C$55,C303,'3_채널별_비용설정'!$D$6:$D$55,"&lt;="&amp;B303,'3_채널별_비용설정'!$O$6:$O$55,"&gt;="&amp;B303)))</f>
      </c>
      <c r="N303" s="12" t="str">
        <f>IF(J303="","",IF(J303&lt;&gt;"정상","비용 설정 필요",SUMIFS('3_채널별_비용설정'!$M$6:$M$55,'3_채널별_비용설정'!$C$6:$C$55,C303,'3_채널별_비용설정'!$D$6:$D$55,"&lt;="&amp;B303,'3_채널별_비용설정'!$O$6:$O$55,"&gt;="&amp;B303)))</f>
      </c>
      <c r="O303" s="12" t="str">
        <f>IF(J303="","",IF(J303&lt;&gt;"정상","비용 설정 필요",(D303*M303)+(E303*N303)))</f>
      </c>
      <c r="P303" s="12" t="str">
        <f>IF(J303="","",IF(J303&lt;&gt;"정상","비용 설정 필요",L303+O303+H303))</f>
      </c>
      <c r="Q303" s="13" t="str">
        <f>IF(J303="","",IF(J303&lt;&gt;"정상","비용 설정 필요",G303-P303))</f>
      </c>
      <c r="R303" s="14" t="str">
        <f>IF(J303="","",IF(J303&lt;&gt;"정상","비용 설정 필요",IFERROR(Q303/G303,0)))</f>
      </c>
    </row>
    <row r="304">
      <c r="B304" s="7"/>
      <c r="C304" s="5"/>
      <c r="D304" s="8"/>
      <c r="E304" s="8"/>
      <c r="F304" s="12" t="str">
        <f>IF(AND(B304="",C304=""),"",SUM(D304:E304))</f>
      </c>
      <c r="G304" s="8"/>
      <c r="H304" s="8"/>
      <c r="I304" s="6"/>
      <c r="J304" s="10" t="str">
        <f>IF(AND(B304="",C304=""),"",IF(OR(B304="",C304=""),"비용 설정 필요",IF(COUNTIFS('3_채널별_비용설정'!$C$6:$C$55,C304,'3_채널별_비용설정'!$D$6:$D$55,"&lt;="&amp;B304,'3_채널별_비용설정'!$O$6:$O$55,"&gt;="&amp;B304)=0,"비용 설정 필요",IF(COUNTIFS('3_채널별_비용설정'!$C$6:$C$55,C304,'3_채널별_비용설정'!$D$6:$D$55,"&lt;="&amp;B304,'3_채널별_비용설정'!$O$6:$O$55,"&gt;="&amp;B304)&gt;1,"기간 중복 확인","정상"))))</f>
      </c>
      <c r="K304" s="15" t="str">
        <f>IF(J304="","",IF(J304&lt;&gt;"정상","비용 설정 필요",SUMIFS('3_채널별_비용설정'!$F$6:$F$55,'3_채널별_비용설정'!$C$6:$C$55,C304,'3_채널별_비용설정'!$D$6:$D$55,"&lt;="&amp;B304,'3_채널별_비용설정'!$O$6:$O$55,"&gt;="&amp;B304)))</f>
      </c>
      <c r="L304" s="12" t="str">
        <f>IF(J304="","",IF(J304&lt;&gt;"정상","비용 설정 필요",ROUND(G304*K304,0)))</f>
      </c>
      <c r="M304" s="12" t="str">
        <f>IF(J304="","",IF(J304&lt;&gt;"정상","비용 설정 필요",SUMIFS('3_채널별_비용설정'!$L$6:$L$55,'3_채널별_비용설정'!$C$6:$C$55,C304,'3_채널별_비용설정'!$D$6:$D$55,"&lt;="&amp;B304,'3_채널별_비용설정'!$O$6:$O$55,"&gt;="&amp;B304)))</f>
      </c>
      <c r="N304" s="12" t="str">
        <f>IF(J304="","",IF(J304&lt;&gt;"정상","비용 설정 필요",SUMIFS('3_채널별_비용설정'!$M$6:$M$55,'3_채널별_비용설정'!$C$6:$C$55,C304,'3_채널별_비용설정'!$D$6:$D$55,"&lt;="&amp;B304,'3_채널별_비용설정'!$O$6:$O$55,"&gt;="&amp;B304)))</f>
      </c>
      <c r="O304" s="12" t="str">
        <f>IF(J304="","",IF(J304&lt;&gt;"정상","비용 설정 필요",(D304*M304)+(E304*N304)))</f>
      </c>
      <c r="P304" s="12" t="str">
        <f>IF(J304="","",IF(J304&lt;&gt;"정상","비용 설정 필요",L304+O304+H304))</f>
      </c>
      <c r="Q304" s="13" t="str">
        <f>IF(J304="","",IF(J304&lt;&gt;"정상","비용 설정 필요",G304-P304))</f>
      </c>
      <c r="R304" s="14" t="str">
        <f>IF(J304="","",IF(J304&lt;&gt;"정상","비용 설정 필요",IFERROR(Q304/G304,0)))</f>
      </c>
    </row>
    <row r="305">
      <c r="B305" s="7"/>
      <c r="C305" s="5"/>
      <c r="D305" s="8"/>
      <c r="E305" s="8"/>
      <c r="F305" s="12" t="str">
        <f>IF(AND(B305="",C305=""),"",SUM(D305:E305))</f>
      </c>
      <c r="G305" s="8"/>
      <c r="H305" s="8"/>
      <c r="I305" s="6"/>
      <c r="J305" s="10" t="str">
        <f>IF(AND(B305="",C305=""),"",IF(OR(B305="",C305=""),"비용 설정 필요",IF(COUNTIFS('3_채널별_비용설정'!$C$6:$C$55,C305,'3_채널별_비용설정'!$D$6:$D$55,"&lt;="&amp;B305,'3_채널별_비용설정'!$O$6:$O$55,"&gt;="&amp;B305)=0,"비용 설정 필요",IF(COUNTIFS('3_채널별_비용설정'!$C$6:$C$55,C305,'3_채널별_비용설정'!$D$6:$D$55,"&lt;="&amp;B305,'3_채널별_비용설정'!$O$6:$O$55,"&gt;="&amp;B305)&gt;1,"기간 중복 확인","정상"))))</f>
      </c>
      <c r="K305" s="15" t="str">
        <f>IF(J305="","",IF(J305&lt;&gt;"정상","비용 설정 필요",SUMIFS('3_채널별_비용설정'!$F$6:$F$55,'3_채널별_비용설정'!$C$6:$C$55,C305,'3_채널별_비용설정'!$D$6:$D$55,"&lt;="&amp;B305,'3_채널별_비용설정'!$O$6:$O$55,"&gt;="&amp;B305)))</f>
      </c>
      <c r="L305" s="12" t="str">
        <f>IF(J305="","",IF(J305&lt;&gt;"정상","비용 설정 필요",ROUND(G305*K305,0)))</f>
      </c>
      <c r="M305" s="12" t="str">
        <f>IF(J305="","",IF(J305&lt;&gt;"정상","비용 설정 필요",SUMIFS('3_채널별_비용설정'!$L$6:$L$55,'3_채널별_비용설정'!$C$6:$C$55,C305,'3_채널별_비용설정'!$D$6:$D$55,"&lt;="&amp;B305,'3_채널별_비용설정'!$O$6:$O$55,"&gt;="&amp;B305)))</f>
      </c>
      <c r="N305" s="12" t="str">
        <f>IF(J305="","",IF(J305&lt;&gt;"정상","비용 설정 필요",SUMIFS('3_채널별_비용설정'!$M$6:$M$55,'3_채널별_비용설정'!$C$6:$C$55,C305,'3_채널별_비용설정'!$D$6:$D$55,"&lt;="&amp;B305,'3_채널별_비용설정'!$O$6:$O$55,"&gt;="&amp;B305)))</f>
      </c>
      <c r="O305" s="12" t="str">
        <f>IF(J305="","",IF(J305&lt;&gt;"정상","비용 설정 필요",(D305*M305)+(E305*N305)))</f>
      </c>
      <c r="P305" s="12" t="str">
        <f>IF(J305="","",IF(J305&lt;&gt;"정상","비용 설정 필요",L305+O305+H305))</f>
      </c>
      <c r="Q305" s="13" t="str">
        <f>IF(J305="","",IF(J305&lt;&gt;"정상","비용 설정 필요",G305-P305))</f>
      </c>
      <c r="R305" s="14" t="str">
        <f>IF(J305="","",IF(J305&lt;&gt;"정상","비용 설정 필요",IFERROR(Q305/G305,0)))</f>
      </c>
    </row>
  </sheetData>
  <mergeCells count="2">
    <mergeCell ref="B2:I2"/>
    <mergeCell ref="B3:R3"/>
  </mergeCells>
  <conditionalFormatting sqref="Q6:Q305">
    <cfRule type="cellIs" dxfId="0" priority="1" operator="lessThan">
      <formula>0</formula>
    </cfRule>
  </conditionalFormatting>
  <conditionalFormatting sqref="J6:R305">
    <cfRule type="containsText" dxfId="1" priority="2" operator="containsText" text="비용 설정 필요">
      <formula>NOT(ISERROR(SEARCH("비용 설정 필요",J6)))</formula>
    </cfRule>
  </conditionalFormatting>
  <dataValidations count="2">
    <dataValidation type="list" allowBlank="1" showInputMessage="1" promptTitle="판매채널 선택" prompt="목록에서 판매채널을 선택하세요." showErrorMessage="1" sqref="C6:C305">
      <formula1>'6_사용설명서_및_기준관리'!$B$6:$B$25</formula1>
    </dataValidation>
    <dataValidation type="whole" operator="greaterThanOrEqual" allowBlank="1" showInputMessage="1" promptTitle="주문건수 입력 (0 이상 정수)" prompt="10kg 미만 / 10kg 이상 주문건수를 각각 0 이상의 정수로 입력하세요." showErrorMessage="1" errorStyle="stop" errorTitle="입력 오류 (주문건수)" error="주문건수는 0 이상의 정수만 입력할 수 있습니다." sqref="D6:E305">
      <formula1>0</formula1>
    </dataValidation>
  </dataValidations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 showGridLines="1">
      <pane ySplit="5" topLeftCell="A6" activePane="bottomLeft" state="frozen"/>
    </sheetView>
  </sheetViews>
  <sheetFormatPr defaultRowHeight="20"/>
  <cols>
    <col min="1" max="1" width="3" customWidth="1"/>
    <col min="2" max="2" width="6" customWidth="1"/>
    <col min="3" max="3" width="15" customWidth="1"/>
    <col min="4" max="5" width="16" customWidth="1"/>
    <col min="6" max="6" width="14" customWidth="1"/>
    <col min="7" max="8" width="15" customWidth="1"/>
    <col min="9" max="12" width="13" customWidth="1"/>
    <col min="13" max="14" width="16" customWidth="1"/>
    <col min="15" max="15" width="16" customWidth="1"/>
    <col min="16" max="16" width="15" customWidth="1"/>
    <col min="17" max="17" width="40" customWidth="1"/>
  </cols>
  <sheetData>
    <row r="2" ht="28" customHeight="1">
      <c r="B2" s="1" t="inlineStr">
        <is>
          <t>매출·지출관리 스프레드시트(순이익/실적 자동계산) | 판매채널·기간별 비용 설정</t>
        </is>
      </c>
    </row>
    <row r="3" ht="36" customHeight="1">
      <c r="B3" s="22" t="inlineStr">
        <is>
          <t>💡 [비용 설정 안내] ① 주문 무게에 따라 [10kg 미만 배송비]와 [10kg 이상 배송비]를 구분하여 설정하고, 주문 1건당 [박스 비용], [포장비닐 비용], [리플렛 비용]을 입력하세요.
② 비용이 변경되면 기존 설정의 [적용 종료일]을 입력하고 아래 새 행에 [새로운 적용 시작일]로 추가하세요. (웹 화면에서는 달력 아이콘 클릭으로 날짜를 바로 선택할 수 있습니다.)</t>
        </is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</row>
    <row r="5" ht="28" customHeight="1">
      <c r="B5" s="4" t="inlineStr">
        <is>
          <t>No</t>
        </is>
      </c>
      <c r="C5" s="3" t="inlineStr">
        <is>
          <t>판매채널
(드롭다운)</t>
        </is>
      </c>
      <c r="D5" s="3" t="inlineStr">
        <is>
          <t>적용 시작일
(달력/날짜선택)</t>
        </is>
      </c>
      <c r="E5" s="3" t="inlineStr">
        <is>
          <t>적용 종료일
(비워두면 계속)</t>
        </is>
      </c>
      <c r="F5" s="3" t="inlineStr">
        <is>
          <t>매출액 기준
수수료율 (%)</t>
        </is>
      </c>
      <c r="G5" s="3" t="inlineStr">
        <is>
          <t>10kg 미만
배송비 (원)</t>
        </is>
      </c>
      <c r="H5" s="3" t="inlineStr">
        <is>
          <t>10kg 이상
배송비 (원)</t>
        </is>
      </c>
      <c r="I5" s="3" t="inlineStr">
        <is>
          <t>박스 비용
(1건당, 원)</t>
        </is>
      </c>
      <c r="J5" s="3" t="inlineStr">
        <is>
          <t>포장비닐 비용
(1건당, 원)</t>
        </is>
      </c>
      <c r="K5" s="3" t="inlineStr">
        <is>
          <t>리플렛 비용
(1건당, 원)</t>
        </is>
      </c>
      <c r="L5" s="4" t="inlineStr">
        <is>
          <t>10kg 미만
1건당 합계(자동)</t>
        </is>
      </c>
      <c r="M5" s="4" t="inlineStr">
        <is>
          <t>10kg 이상
1건당 합계(자동)</t>
        </is>
      </c>
      <c r="N5" s="4" t="inlineStr">
        <is>
          <t>적용 기간
중복/오류 검증</t>
        </is>
      </c>
      <c r="O5" s="4" t="inlineStr">
        <is>
          <t>종료 기준일
(수식 자동처리)</t>
        </is>
      </c>
      <c r="P5" s="3" t="inlineStr">
        <is>
          <t>비고 (단가 변경 이력 및 메모)</t>
        </is>
      </c>
    </row>
    <row r="6">
      <c r="B6" s="10">
        <f>IF(C6="","",ROW()-5)</f>
        <v>1</v>
      </c>
      <c r="C6" s="5" t="inlineStr">
        <is>
          <t>농라</t>
        </is>
      </c>
      <c r="D6" s="7">
        <v>46327</v>
      </c>
      <c r="E6" s="7"/>
      <c r="F6" s="9">
        <v>0</v>
      </c>
      <c r="G6" s="8">
        <v>3500</v>
      </c>
      <c r="H6" s="8">
        <v>4500</v>
      </c>
      <c r="I6" s="8">
        <v>650</v>
      </c>
      <c r="J6" s="8">
        <v>150</v>
      </c>
      <c r="K6" s="8">
        <v>100</v>
      </c>
      <c r="L6" s="13">
        <f>IF(C6="","",G6+SUM(I6:K6))</f>
        <v>4400</v>
      </c>
      <c r="M6" s="13">
        <f>IF(C6="","",H6+SUM(I6:K6))</f>
        <v>5400</v>
      </c>
      <c r="N6" s="10" t="str">
        <f>IF(C6="","",IF(D6&gt;O6,"⚠️ 시작일&gt;종료일 오류",IF(COUNTIFS($C$6:$C$55,C6,$D$6:$D$55,"&lt;="&amp;O6,$O$6:$O$55,"&gt;="&amp;D6)&gt;1,"⚠️ 기간 중복","정상")))</f>
        <v>정상</v>
      </c>
      <c r="O6" s="11">
        <f>IF(C6="","",IF(E6="",DATE(2099,12,31),E6))</f>
        <v>73050</v>
      </c>
      <c r="P6" s="6" t="inlineStr">
        <is>
          <t>[예시] 농라 카페 직거래 (수수료 0%, 10kg미만 3,500원 / 10kg이상 4,500원)</t>
        </is>
      </c>
    </row>
    <row r="7">
      <c r="B7" s="10">
        <f>IF(C7="","",ROW()-5)</f>
        <v>2</v>
      </c>
      <c r="C7" s="5" t="inlineStr">
        <is>
          <t>스마트스토어</t>
        </is>
      </c>
      <c r="D7" s="7">
        <v>46327</v>
      </c>
      <c r="E7" s="7">
        <v>46341</v>
      </c>
      <c r="F7" s="9">
        <v>0.055</v>
      </c>
      <c r="G7" s="8">
        <v>3200</v>
      </c>
      <c r="H7" s="8">
        <v>4200</v>
      </c>
      <c r="I7" s="8">
        <v>650</v>
      </c>
      <c r="J7" s="8">
        <v>150</v>
      </c>
      <c r="K7" s="8">
        <v>100</v>
      </c>
      <c r="L7" s="13">
        <f>IF(C7="","",G7+SUM(I7:K7))</f>
        <v>4100</v>
      </c>
      <c r="M7" s="13">
        <f>IF(C7="","",H7+SUM(I7:K7))</f>
        <v>5100</v>
      </c>
      <c r="N7" s="10" t="str">
        <f>IF(C7="","",IF(D7&gt;O7,"⚠️ 시작일&gt;종료일 오류",IF(COUNTIFS($C$6:$C$55,C7,$D$6:$D$55,"&lt;="&amp;O7,$O$6:$O$55,"&gt;="&amp;D7)&gt;1,"⚠️ 기간 중복","정상")))</f>
        <v>정상</v>
      </c>
      <c r="O7" s="11">
        <f>IF(C7="","",IF(E7="",DATE(2099,12,31),E7))</f>
        <v>46341</v>
      </c>
      <c r="P7" s="6" t="inlineStr">
        <is>
          <t>[단가변경 전] 11/15까지 적용 단가 (수수료 5.5%, 미만택배 3,200원/이상 4,200원)</t>
        </is>
      </c>
    </row>
    <row r="8">
      <c r="B8" s="10">
        <f>IF(C8="","",ROW()-5)</f>
        <v>3</v>
      </c>
      <c r="C8" s="5" t="inlineStr">
        <is>
          <t>스마트스토어</t>
        </is>
      </c>
      <c r="D8" s="7">
        <v>46342</v>
      </c>
      <c r="E8" s="7"/>
      <c r="F8" s="9">
        <v>0.058</v>
      </c>
      <c r="G8" s="8">
        <v>3500</v>
      </c>
      <c r="H8" s="8">
        <v>4500</v>
      </c>
      <c r="I8" s="8">
        <v>750</v>
      </c>
      <c r="J8" s="8">
        <v>150</v>
      </c>
      <c r="K8" s="8">
        <v>100</v>
      </c>
      <c r="L8" s="13">
        <f>IF(C8="","",G8+SUM(I8:K8))</f>
        <v>4500</v>
      </c>
      <c r="M8" s="13">
        <f>IF(C8="","",H8+SUM(I8:K8))</f>
        <v>5500</v>
      </c>
      <c r="N8" s="10" t="str">
        <f>IF(C8="","",IF(D8&gt;O8,"⚠️ 시작일&gt;종료일 오류",IF(COUNTIFS($C$6:$C$55,C8,$D$6:$D$55,"&lt;="&amp;O8,$O$6:$O$55,"&gt;="&amp;D8)&gt;1,"⚠️ 기간 중복","정상")))</f>
        <v>정상</v>
      </c>
      <c r="O8" s="11">
        <f>IF(C8="","",IF(E8="",DATE(2099,12,31),E8))</f>
        <v>73050</v>
      </c>
      <c r="P8" s="6" t="inlineStr">
        <is>
          <t>[단가변경 후] 11/16부터 택배비·박스비 인상 적용 (과거 매출은 이전 단가 유지)</t>
        </is>
      </c>
    </row>
    <row r="9">
      <c r="B9" s="10">
        <f>IF(C9="","",ROW()-5)</f>
        <v>4</v>
      </c>
      <c r="C9" s="5" t="inlineStr">
        <is>
          <t>카톡</t>
        </is>
      </c>
      <c r="D9" s="7">
        <v>46327</v>
      </c>
      <c r="E9" s="7"/>
      <c r="F9" s="9">
        <v>0.033</v>
      </c>
      <c r="G9" s="8">
        <v>3500</v>
      </c>
      <c r="H9" s="8">
        <v>4500</v>
      </c>
      <c r="I9" s="8">
        <v>650</v>
      </c>
      <c r="J9" s="8">
        <v>150</v>
      </c>
      <c r="K9" s="8">
        <v>100</v>
      </c>
      <c r="L9" s="13">
        <f>IF(C9="","",G9+SUM(I9:K9))</f>
        <v>4400</v>
      </c>
      <c r="M9" s="13">
        <f>IF(C9="","",H9+SUM(I9:K9))</f>
        <v>5400</v>
      </c>
      <c r="N9" s="10" t="str">
        <f>IF(C9="","",IF(D9&gt;O9,"⚠️ 시작일&gt;종료일 오류",IF(COUNTIFS($C$6:$C$55,C9,$D$6:$D$55,"&lt;="&amp;O9,$O$6:$O$55,"&gt;="&amp;D9)&gt;1,"⚠️ 기간 중복","정상")))</f>
        <v>정상</v>
      </c>
      <c r="O9" s="11">
        <f>IF(C9="","",IF(E9="",DATE(2099,12,31),E9))</f>
        <v>73050</v>
      </c>
      <c r="P9" s="6" t="inlineStr">
        <is>
          <t>[예시] 카카오톡 톡채널/선물 주문</t>
        </is>
      </c>
    </row>
    <row r="10">
      <c r="B10" s="10">
        <f>IF(C10="","",ROW()-5)</f>
        <v>5</v>
      </c>
      <c r="C10" s="5" t="inlineStr">
        <is>
          <t>고흥몰</t>
        </is>
      </c>
      <c r="D10" s="7">
        <v>46327</v>
      </c>
      <c r="E10" s="7"/>
      <c r="F10" s="9">
        <v>0.04</v>
      </c>
      <c r="G10" s="8">
        <v>3000</v>
      </c>
      <c r="H10" s="8">
        <v>4000</v>
      </c>
      <c r="I10" s="8">
        <v>650</v>
      </c>
      <c r="J10" s="8">
        <v>150</v>
      </c>
      <c r="K10" s="8">
        <v>100</v>
      </c>
      <c r="L10" s="13">
        <f>IF(C10="","",G10+SUM(I10:K10))</f>
        <v>3900</v>
      </c>
      <c r="M10" s="13">
        <f>IF(C10="","",H10+SUM(I10:K10))</f>
        <v>4900</v>
      </c>
      <c r="N10" s="10" t="str">
        <f>IF(C10="","",IF(D10&gt;O10,"⚠️ 시작일&gt;종료일 오류",IF(COUNTIFS($C$6:$C$55,C10,$D$6:$D$55,"&lt;="&amp;O10,$O$6:$O$55,"&gt;="&amp;D10)&gt;1,"⚠️ 기간 중복","정상")))</f>
        <v>정상</v>
      </c>
      <c r="O10" s="11">
        <f>IF(C10="","",IF(E10="",DATE(2099,12,31),E10))</f>
        <v>73050</v>
      </c>
      <c r="P10" s="6" t="inlineStr">
        <is>
          <t>[예시] 고흥몰 입점 특산물 판매</t>
        </is>
      </c>
    </row>
    <row r="11">
      <c r="B11" s="10">
        <f>IF(C11="","",ROW()-5)</f>
        <v>6</v>
      </c>
      <c r="C11" s="5" t="inlineStr">
        <is>
          <t>남도장터</t>
        </is>
      </c>
      <c r="D11" s="7">
        <v>46327</v>
      </c>
      <c r="E11" s="7"/>
      <c r="F11" s="9">
        <v>0.05</v>
      </c>
      <c r="G11" s="8">
        <v>3200</v>
      </c>
      <c r="H11" s="8">
        <v>4200</v>
      </c>
      <c r="I11" s="8">
        <v>650</v>
      </c>
      <c r="J11" s="8">
        <v>150</v>
      </c>
      <c r="K11" s="8">
        <v>100</v>
      </c>
      <c r="L11" s="13">
        <f>IF(C11="","",G11+SUM(I11:K11))</f>
        <v>4100</v>
      </c>
      <c r="M11" s="13">
        <f>IF(C11="","",H11+SUM(I11:K11))</f>
        <v>5100</v>
      </c>
      <c r="N11" s="10" t="str">
        <f>IF(C11="","",IF(D11&gt;O11,"⚠️ 시작일&gt;종료일 오류",IF(COUNTIFS($C$6:$C$55,C11,$D$6:$D$55,"&lt;="&amp;O11,$O$6:$O$55,"&gt;="&amp;D11)&gt;1,"⚠️ 기간 중복","정상")))</f>
        <v>정상</v>
      </c>
      <c r="O11" s="11">
        <f>IF(C11="","",IF(E11="",DATE(2099,12,31),E11))</f>
        <v>73050</v>
      </c>
      <c r="P11" s="6" t="inlineStr">
        <is>
          <t>[예시] 남도장터 온라인몰 판매</t>
        </is>
      </c>
    </row>
    <row r="12">
      <c r="B12" s="10">
        <f>IF(C12="","",ROW()-5)</f>
        <v>7</v>
      </c>
      <c r="C12" s="5" t="inlineStr">
        <is>
          <t>로컬푸드</t>
        </is>
      </c>
      <c r="D12" s="7">
        <v>46327</v>
      </c>
      <c r="E12" s="7"/>
      <c r="F12" s="9">
        <v>0.1</v>
      </c>
      <c r="G12" s="8">
        <v>0</v>
      </c>
      <c r="H12" s="8">
        <v>0</v>
      </c>
      <c r="I12" s="8">
        <v>400</v>
      </c>
      <c r="J12" s="8">
        <v>120</v>
      </c>
      <c r="K12" s="8">
        <v>80</v>
      </c>
      <c r="L12" s="13">
        <f>IF(C12="","",G12+SUM(I12:K12))</f>
        <v>600</v>
      </c>
      <c r="M12" s="13">
        <f>IF(C12="","",H12+SUM(I12:K12))</f>
        <v>600</v>
      </c>
      <c r="N12" s="10" t="str">
        <f>IF(C12="","",IF(D12&gt;O12,"⚠️ 시작일&gt;종료일 오류",IF(COUNTIFS($C$6:$C$55,C12,$D$6:$D$55,"&lt;="&amp;O12,$O$6:$O$55,"&gt;="&amp;D12)&gt;1,"⚠️ 기간 중복","정상")))</f>
        <v>정상</v>
      </c>
      <c r="O12" s="11">
        <f>IF(C12="","",IF(E12="",DATE(2099,12,31),E12))</f>
        <v>73050</v>
      </c>
      <c r="P12" s="6" t="inlineStr">
        <is>
          <t>[예시] 로컬푸드 직매장 납품 (택배비 없음, 소포장 박스·비닐·리플렛만 적용)</t>
        </is>
      </c>
    </row>
    <row r="13">
      <c r="B13" s="10">
        <f>IF(C13="","",ROW()-5)</f>
        <v>8</v>
      </c>
      <c r="C13" s="5" t="inlineStr">
        <is>
          <t>기타</t>
        </is>
      </c>
      <c r="D13" s="7">
        <v>46327</v>
      </c>
      <c r="E13" s="7"/>
      <c r="F13" s="9">
        <v>0.03</v>
      </c>
      <c r="G13" s="8">
        <v>3500</v>
      </c>
      <c r="H13" s="8">
        <v>4500</v>
      </c>
      <c r="I13" s="8">
        <v>650</v>
      </c>
      <c r="J13" s="8">
        <v>150</v>
      </c>
      <c r="K13" s="8">
        <v>100</v>
      </c>
      <c r="L13" s="13">
        <f>IF(C13="","",G13+SUM(I13:K13))</f>
        <v>4400</v>
      </c>
      <c r="M13" s="13">
        <f>IF(C13="","",H13+SUM(I13:K13))</f>
        <v>5400</v>
      </c>
      <c r="N13" s="10" t="str">
        <f>IF(C13="","",IF(D13&gt;O13,"⚠️ 시작일&gt;종료일 오류",IF(COUNTIFS($C$6:$C$55,C13,$D$6:$D$55,"&lt;="&amp;O13,$O$6:$O$55,"&gt;="&amp;D13)&gt;1,"⚠️ 기간 중복","정상")))</f>
        <v>정상</v>
      </c>
      <c r="O13" s="11">
        <f>IF(C13="","",IF(E13="",DATE(2099,12,31),E13))</f>
        <v>73050</v>
      </c>
      <c r="P13" s="6" t="inlineStr">
        <is>
          <t>[예시] 전화/방문 및 기타 외부채널 기본값</t>
        </is>
      </c>
    </row>
    <row r="14">
      <c r="B14" s="10" t="str">
        <f>IF(C14="","",ROW()-5)</f>
      </c>
      <c r="C14" s="5"/>
      <c r="D14" s="7"/>
      <c r="E14" s="7"/>
      <c r="F14" s="9"/>
      <c r="G14" s="8"/>
      <c r="H14" s="8"/>
      <c r="I14" s="8"/>
      <c r="J14" s="8"/>
      <c r="K14" s="8"/>
      <c r="L14" s="13" t="str">
        <f>IF(C14="","",G14+SUM(I14:K14))</f>
      </c>
      <c r="M14" s="13" t="str">
        <f>IF(C14="","",H14+SUM(I14:K14))</f>
      </c>
      <c r="N14" s="10" t="str">
        <f>IF(C14="","",IF(D14&gt;O14,"⚠️ 시작일&gt;종료일 오류",IF(COUNTIFS($C$6:$C$55,C14,$D$6:$D$55,"&lt;="&amp;O14,$O$6:$O$55,"&gt;="&amp;D14)&gt;1,"⚠️ 기간 중복","정상")))</f>
      </c>
      <c r="O14" s="11" t="str">
        <f>IF(C14="","",IF(E14="",DATE(2099,12,31),E14))</f>
      </c>
      <c r="P14" s="6"/>
    </row>
    <row r="15">
      <c r="B15" s="10" t="str">
        <f>IF(C15="","",ROW()-5)</f>
      </c>
      <c r="C15" s="5"/>
      <c r="D15" s="7"/>
      <c r="E15" s="7"/>
      <c r="F15" s="9"/>
      <c r="G15" s="8"/>
      <c r="H15" s="8"/>
      <c r="I15" s="8"/>
      <c r="J15" s="8"/>
      <c r="K15" s="8"/>
      <c r="L15" s="13" t="str">
        <f>IF(C15="","",G15+SUM(I15:K15))</f>
      </c>
      <c r="M15" s="13" t="str">
        <f>IF(C15="","",H15+SUM(I15:K15))</f>
      </c>
      <c r="N15" s="10" t="str">
        <f>IF(C15="","",IF(D15&gt;O15,"⚠️ 시작일&gt;종료일 오류",IF(COUNTIFS($C$6:$C$55,C15,$D$6:$D$55,"&lt;="&amp;O15,$O$6:$O$55,"&gt;="&amp;D15)&gt;1,"⚠️ 기간 중복","정상")))</f>
      </c>
      <c r="O15" s="11" t="str">
        <f>IF(C15="","",IF(E15="",DATE(2099,12,31),E15))</f>
      </c>
      <c r="P15" s="6"/>
    </row>
    <row r="16">
      <c r="B16" s="10" t="str">
        <f>IF(C16="","",ROW()-5)</f>
      </c>
      <c r="C16" s="5"/>
      <c r="D16" s="7"/>
      <c r="E16" s="7"/>
      <c r="F16" s="9"/>
      <c r="G16" s="8"/>
      <c r="H16" s="8"/>
      <c r="I16" s="8"/>
      <c r="J16" s="8"/>
      <c r="K16" s="8"/>
      <c r="L16" s="13" t="str">
        <f>IF(C16="","",G16+SUM(I16:K16))</f>
      </c>
      <c r="M16" s="13" t="str">
        <f>IF(C16="","",H16+SUM(I16:K16))</f>
      </c>
      <c r="N16" s="10" t="str">
        <f>IF(C16="","",IF(D16&gt;O16,"⚠️ 시작일&gt;종료일 오류",IF(COUNTIFS($C$6:$C$55,C16,$D$6:$D$55,"&lt;="&amp;O16,$O$6:$O$55,"&gt;="&amp;D16)&gt;1,"⚠️ 기간 중복","정상")))</f>
      </c>
      <c r="O16" s="11" t="str">
        <f>IF(C16="","",IF(E16="",DATE(2099,12,31),E16))</f>
      </c>
      <c r="P16" s="6"/>
    </row>
    <row r="17">
      <c r="B17" s="10" t="str">
        <f>IF(C17="","",ROW()-5)</f>
      </c>
      <c r="C17" s="5"/>
      <c r="D17" s="7"/>
      <c r="E17" s="7"/>
      <c r="F17" s="9"/>
      <c r="G17" s="8"/>
      <c r="H17" s="8"/>
      <c r="I17" s="8"/>
      <c r="J17" s="8"/>
      <c r="K17" s="8"/>
      <c r="L17" s="13" t="str">
        <f>IF(C17="","",G17+SUM(I17:K17))</f>
      </c>
      <c r="M17" s="13" t="str">
        <f>IF(C17="","",H17+SUM(I17:K17))</f>
      </c>
      <c r="N17" s="10" t="str">
        <f>IF(C17="","",IF(D17&gt;O17,"⚠️ 시작일&gt;종료일 오류",IF(COUNTIFS($C$6:$C$55,C17,$D$6:$D$55,"&lt;="&amp;O17,$O$6:$O$55,"&gt;="&amp;D17)&gt;1,"⚠️ 기간 중복","정상")))</f>
      </c>
      <c r="O17" s="11" t="str">
        <f>IF(C17="","",IF(E17="",DATE(2099,12,31),E17))</f>
      </c>
      <c r="P17" s="6"/>
    </row>
    <row r="18">
      <c r="B18" s="10" t="str">
        <f>IF(C18="","",ROW()-5)</f>
      </c>
      <c r="C18" s="5"/>
      <c r="D18" s="7"/>
      <c r="E18" s="7"/>
      <c r="F18" s="9"/>
      <c r="G18" s="8"/>
      <c r="H18" s="8"/>
      <c r="I18" s="8"/>
      <c r="J18" s="8"/>
      <c r="K18" s="8"/>
      <c r="L18" s="13" t="str">
        <f>IF(C18="","",G18+SUM(I18:K18))</f>
      </c>
      <c r="M18" s="13" t="str">
        <f>IF(C18="","",H18+SUM(I18:K18))</f>
      </c>
      <c r="N18" s="10" t="str">
        <f>IF(C18="","",IF(D18&gt;O18,"⚠️ 시작일&gt;종료일 오류",IF(COUNTIFS($C$6:$C$55,C18,$D$6:$D$55,"&lt;="&amp;O18,$O$6:$O$55,"&gt;="&amp;D18)&gt;1,"⚠️ 기간 중복","정상")))</f>
      </c>
      <c r="O18" s="11" t="str">
        <f>IF(C18="","",IF(E18="",DATE(2099,12,31),E18))</f>
      </c>
      <c r="P18" s="6"/>
    </row>
    <row r="19">
      <c r="B19" s="10" t="str">
        <f>IF(C19="","",ROW()-5)</f>
      </c>
      <c r="C19" s="5"/>
      <c r="D19" s="7"/>
      <c r="E19" s="7"/>
      <c r="F19" s="9"/>
      <c r="G19" s="8"/>
      <c r="H19" s="8"/>
      <c r="I19" s="8"/>
      <c r="J19" s="8"/>
      <c r="K19" s="8"/>
      <c r="L19" s="13" t="str">
        <f>IF(C19="","",G19+SUM(I19:K19))</f>
      </c>
      <c r="M19" s="13" t="str">
        <f>IF(C19="","",H19+SUM(I19:K19))</f>
      </c>
      <c r="N19" s="10" t="str">
        <f>IF(C19="","",IF(D19&gt;O19,"⚠️ 시작일&gt;종료일 오류",IF(COUNTIFS($C$6:$C$55,C19,$D$6:$D$55,"&lt;="&amp;O19,$O$6:$O$55,"&gt;="&amp;D19)&gt;1,"⚠️ 기간 중복","정상")))</f>
      </c>
      <c r="O19" s="11" t="str">
        <f>IF(C19="","",IF(E19="",DATE(2099,12,31),E19))</f>
      </c>
      <c r="P19" s="6"/>
    </row>
    <row r="20">
      <c r="B20" s="10" t="str">
        <f>IF(C20="","",ROW()-5)</f>
      </c>
      <c r="C20" s="5"/>
      <c r="D20" s="7"/>
      <c r="E20" s="7"/>
      <c r="F20" s="9"/>
      <c r="G20" s="8"/>
      <c r="H20" s="8"/>
      <c r="I20" s="8"/>
      <c r="J20" s="8"/>
      <c r="K20" s="8"/>
      <c r="L20" s="13" t="str">
        <f>IF(C20="","",G20+SUM(I20:K20))</f>
      </c>
      <c r="M20" s="13" t="str">
        <f>IF(C20="","",H20+SUM(I20:K20))</f>
      </c>
      <c r="N20" s="10" t="str">
        <f>IF(C20="","",IF(D20&gt;O20,"⚠️ 시작일&gt;종료일 오류",IF(COUNTIFS($C$6:$C$55,C20,$D$6:$D$55,"&lt;="&amp;O20,$O$6:$O$55,"&gt;="&amp;D20)&gt;1,"⚠️ 기간 중복","정상")))</f>
      </c>
      <c r="O20" s="11" t="str">
        <f>IF(C20="","",IF(E20="",DATE(2099,12,31),E20))</f>
      </c>
      <c r="P20" s="6"/>
    </row>
    <row r="21">
      <c r="B21" s="10" t="str">
        <f>IF(C21="","",ROW()-5)</f>
      </c>
      <c r="C21" s="5"/>
      <c r="D21" s="7"/>
      <c r="E21" s="7"/>
      <c r="F21" s="9"/>
      <c r="G21" s="8"/>
      <c r="H21" s="8"/>
      <c r="I21" s="8"/>
      <c r="J21" s="8"/>
      <c r="K21" s="8"/>
      <c r="L21" s="13" t="str">
        <f>IF(C21="","",G21+SUM(I21:K21))</f>
      </c>
      <c r="M21" s="13" t="str">
        <f>IF(C21="","",H21+SUM(I21:K21))</f>
      </c>
      <c r="N21" s="10" t="str">
        <f>IF(C21="","",IF(D21&gt;O21,"⚠️ 시작일&gt;종료일 오류",IF(COUNTIFS($C$6:$C$55,C21,$D$6:$D$55,"&lt;="&amp;O21,$O$6:$O$55,"&gt;="&amp;D21)&gt;1,"⚠️ 기간 중복","정상")))</f>
      </c>
      <c r="O21" s="11" t="str">
        <f>IF(C21="","",IF(E21="",DATE(2099,12,31),E21))</f>
      </c>
      <c r="P21" s="6"/>
    </row>
    <row r="22">
      <c r="B22" s="10" t="str">
        <f>IF(C22="","",ROW()-5)</f>
      </c>
      <c r="C22" s="5"/>
      <c r="D22" s="7"/>
      <c r="E22" s="7"/>
      <c r="F22" s="9"/>
      <c r="G22" s="8"/>
      <c r="H22" s="8"/>
      <c r="I22" s="8"/>
      <c r="J22" s="8"/>
      <c r="K22" s="8"/>
      <c r="L22" s="13" t="str">
        <f>IF(C22="","",G22+SUM(I22:K22))</f>
      </c>
      <c r="M22" s="13" t="str">
        <f>IF(C22="","",H22+SUM(I22:K22))</f>
      </c>
      <c r="N22" s="10" t="str">
        <f>IF(C22="","",IF(D22&gt;O22,"⚠️ 시작일&gt;종료일 오류",IF(COUNTIFS($C$6:$C$55,C22,$D$6:$D$55,"&lt;="&amp;O22,$O$6:$O$55,"&gt;="&amp;D22)&gt;1,"⚠️ 기간 중복","정상")))</f>
      </c>
      <c r="O22" s="11" t="str">
        <f>IF(C22="","",IF(E22="",DATE(2099,12,31),E22))</f>
      </c>
      <c r="P22" s="6"/>
    </row>
    <row r="23">
      <c r="B23" s="10" t="str">
        <f>IF(C23="","",ROW()-5)</f>
      </c>
      <c r="C23" s="5"/>
      <c r="D23" s="7"/>
      <c r="E23" s="7"/>
      <c r="F23" s="9"/>
      <c r="G23" s="8"/>
      <c r="H23" s="8"/>
      <c r="I23" s="8"/>
      <c r="J23" s="8"/>
      <c r="K23" s="8"/>
      <c r="L23" s="13" t="str">
        <f>IF(C23="","",G23+SUM(I23:K23))</f>
      </c>
      <c r="M23" s="13" t="str">
        <f>IF(C23="","",H23+SUM(I23:K23))</f>
      </c>
      <c r="N23" s="10" t="str">
        <f>IF(C23="","",IF(D23&gt;O23,"⚠️ 시작일&gt;종료일 오류",IF(COUNTIFS($C$6:$C$55,C23,$D$6:$D$55,"&lt;="&amp;O23,$O$6:$O$55,"&gt;="&amp;D23)&gt;1,"⚠️ 기간 중복","정상")))</f>
      </c>
      <c r="O23" s="11" t="str">
        <f>IF(C23="","",IF(E23="",DATE(2099,12,31),E23))</f>
      </c>
      <c r="P23" s="6"/>
    </row>
    <row r="24">
      <c r="B24" s="10" t="str">
        <f>IF(C24="","",ROW()-5)</f>
      </c>
      <c r="C24" s="5"/>
      <c r="D24" s="7"/>
      <c r="E24" s="7"/>
      <c r="F24" s="9"/>
      <c r="G24" s="8"/>
      <c r="H24" s="8"/>
      <c r="I24" s="8"/>
      <c r="J24" s="8"/>
      <c r="K24" s="8"/>
      <c r="L24" s="13" t="str">
        <f>IF(C24="","",G24+SUM(I24:K24))</f>
      </c>
      <c r="M24" s="13" t="str">
        <f>IF(C24="","",H24+SUM(I24:K24))</f>
      </c>
      <c r="N24" s="10" t="str">
        <f>IF(C24="","",IF(D24&gt;O24,"⚠️ 시작일&gt;종료일 오류",IF(COUNTIFS($C$6:$C$55,C24,$D$6:$D$55,"&lt;="&amp;O24,$O$6:$O$55,"&gt;="&amp;D24)&gt;1,"⚠️ 기간 중복","정상")))</f>
      </c>
      <c r="O24" s="11" t="str">
        <f>IF(C24="","",IF(E24="",DATE(2099,12,31),E24))</f>
      </c>
      <c r="P24" s="6"/>
    </row>
    <row r="25">
      <c r="B25" s="10" t="str">
        <f>IF(C25="","",ROW()-5)</f>
      </c>
      <c r="C25" s="5"/>
      <c r="D25" s="7"/>
      <c r="E25" s="7"/>
      <c r="F25" s="9"/>
      <c r="G25" s="8"/>
      <c r="H25" s="8"/>
      <c r="I25" s="8"/>
      <c r="J25" s="8"/>
      <c r="K25" s="8"/>
      <c r="L25" s="13" t="str">
        <f>IF(C25="","",G25+SUM(I25:K25))</f>
      </c>
      <c r="M25" s="13" t="str">
        <f>IF(C25="","",H25+SUM(I25:K25))</f>
      </c>
      <c r="N25" s="10" t="str">
        <f>IF(C25="","",IF(D25&gt;O25,"⚠️ 시작일&gt;종료일 오류",IF(COUNTIFS($C$6:$C$55,C25,$D$6:$D$55,"&lt;="&amp;O25,$O$6:$O$55,"&gt;="&amp;D25)&gt;1,"⚠️ 기간 중복","정상")))</f>
      </c>
      <c r="O25" s="11" t="str">
        <f>IF(C25="","",IF(E25="",DATE(2099,12,31),E25))</f>
      </c>
      <c r="P25" s="6"/>
    </row>
    <row r="26">
      <c r="B26" s="10" t="str">
        <f>IF(C26="","",ROW()-5)</f>
      </c>
      <c r="C26" s="5"/>
      <c r="D26" s="7"/>
      <c r="E26" s="7"/>
      <c r="F26" s="9"/>
      <c r="G26" s="8"/>
      <c r="H26" s="8"/>
      <c r="I26" s="8"/>
      <c r="J26" s="8"/>
      <c r="K26" s="8"/>
      <c r="L26" s="13" t="str">
        <f>IF(C26="","",G26+SUM(I26:K26))</f>
      </c>
      <c r="M26" s="13" t="str">
        <f>IF(C26="","",H26+SUM(I26:K26))</f>
      </c>
      <c r="N26" s="10" t="str">
        <f>IF(C26="","",IF(D26&gt;O26,"⚠️ 시작일&gt;종료일 오류",IF(COUNTIFS($C$6:$C$55,C26,$D$6:$D$55,"&lt;="&amp;O26,$O$6:$O$55,"&gt;="&amp;D26)&gt;1,"⚠️ 기간 중복","정상")))</f>
      </c>
      <c r="O26" s="11" t="str">
        <f>IF(C26="","",IF(E26="",DATE(2099,12,31),E26))</f>
      </c>
      <c r="P26" s="6"/>
    </row>
    <row r="27">
      <c r="B27" s="10" t="str">
        <f>IF(C27="","",ROW()-5)</f>
      </c>
      <c r="C27" s="5"/>
      <c r="D27" s="7"/>
      <c r="E27" s="7"/>
      <c r="F27" s="9"/>
      <c r="G27" s="8"/>
      <c r="H27" s="8"/>
      <c r="I27" s="8"/>
      <c r="J27" s="8"/>
      <c r="K27" s="8"/>
      <c r="L27" s="13" t="str">
        <f>IF(C27="","",G27+SUM(I27:K27))</f>
      </c>
      <c r="M27" s="13" t="str">
        <f>IF(C27="","",H27+SUM(I27:K27))</f>
      </c>
      <c r="N27" s="10" t="str">
        <f>IF(C27="","",IF(D27&gt;O27,"⚠️ 시작일&gt;종료일 오류",IF(COUNTIFS($C$6:$C$55,C27,$D$6:$D$55,"&lt;="&amp;O27,$O$6:$O$55,"&gt;="&amp;D27)&gt;1,"⚠️ 기간 중복","정상")))</f>
      </c>
      <c r="O27" s="11" t="str">
        <f>IF(C27="","",IF(E27="",DATE(2099,12,31),E27))</f>
      </c>
      <c r="P27" s="6"/>
    </row>
    <row r="28">
      <c r="B28" s="10" t="str">
        <f>IF(C28="","",ROW()-5)</f>
      </c>
      <c r="C28" s="5"/>
      <c r="D28" s="7"/>
      <c r="E28" s="7"/>
      <c r="F28" s="9"/>
      <c r="G28" s="8"/>
      <c r="H28" s="8"/>
      <c r="I28" s="8"/>
      <c r="J28" s="8"/>
      <c r="K28" s="8"/>
      <c r="L28" s="13" t="str">
        <f>IF(C28="","",G28+SUM(I28:K28))</f>
      </c>
      <c r="M28" s="13" t="str">
        <f>IF(C28="","",H28+SUM(I28:K28))</f>
      </c>
      <c r="N28" s="10" t="str">
        <f>IF(C28="","",IF(D28&gt;O28,"⚠️ 시작일&gt;종료일 오류",IF(COUNTIFS($C$6:$C$55,C28,$D$6:$D$55,"&lt;="&amp;O28,$O$6:$O$55,"&gt;="&amp;D28)&gt;1,"⚠️ 기간 중복","정상")))</f>
      </c>
      <c r="O28" s="11" t="str">
        <f>IF(C28="","",IF(E28="",DATE(2099,12,31),E28))</f>
      </c>
      <c r="P28" s="6"/>
    </row>
    <row r="29">
      <c r="B29" s="10" t="str">
        <f>IF(C29="","",ROW()-5)</f>
      </c>
      <c r="C29" s="5"/>
      <c r="D29" s="7"/>
      <c r="E29" s="7"/>
      <c r="F29" s="9"/>
      <c r="G29" s="8"/>
      <c r="H29" s="8"/>
      <c r="I29" s="8"/>
      <c r="J29" s="8"/>
      <c r="K29" s="8"/>
      <c r="L29" s="13" t="str">
        <f>IF(C29="","",G29+SUM(I29:K29))</f>
      </c>
      <c r="M29" s="13" t="str">
        <f>IF(C29="","",H29+SUM(I29:K29))</f>
      </c>
      <c r="N29" s="10" t="str">
        <f>IF(C29="","",IF(D29&gt;O29,"⚠️ 시작일&gt;종료일 오류",IF(COUNTIFS($C$6:$C$55,C29,$D$6:$D$55,"&lt;="&amp;O29,$O$6:$O$55,"&gt;="&amp;D29)&gt;1,"⚠️ 기간 중복","정상")))</f>
      </c>
      <c r="O29" s="11" t="str">
        <f>IF(C29="","",IF(E29="",DATE(2099,12,31),E29))</f>
      </c>
      <c r="P29" s="6"/>
    </row>
    <row r="30">
      <c r="B30" s="10" t="str">
        <f>IF(C30="","",ROW()-5)</f>
      </c>
      <c r="C30" s="5"/>
      <c r="D30" s="7"/>
      <c r="E30" s="7"/>
      <c r="F30" s="9"/>
      <c r="G30" s="8"/>
      <c r="H30" s="8"/>
      <c r="I30" s="8"/>
      <c r="J30" s="8"/>
      <c r="K30" s="8"/>
      <c r="L30" s="13" t="str">
        <f>IF(C30="","",G30+SUM(I30:K30))</f>
      </c>
      <c r="M30" s="13" t="str">
        <f>IF(C30="","",H30+SUM(I30:K30))</f>
      </c>
      <c r="N30" s="10" t="str">
        <f>IF(C30="","",IF(D30&gt;O30,"⚠️ 시작일&gt;종료일 오류",IF(COUNTIFS($C$6:$C$55,C30,$D$6:$D$55,"&lt;="&amp;O30,$O$6:$O$55,"&gt;="&amp;D30)&gt;1,"⚠️ 기간 중복","정상")))</f>
      </c>
      <c r="O30" s="11" t="str">
        <f>IF(C30="","",IF(E30="",DATE(2099,12,31),E30))</f>
      </c>
      <c r="P30" s="6"/>
    </row>
    <row r="31">
      <c r="B31" s="10" t="str">
        <f>IF(C31="","",ROW()-5)</f>
      </c>
      <c r="C31" s="5"/>
      <c r="D31" s="7"/>
      <c r="E31" s="7"/>
      <c r="F31" s="9"/>
      <c r="G31" s="8"/>
      <c r="H31" s="8"/>
      <c r="I31" s="8"/>
      <c r="J31" s="8"/>
      <c r="K31" s="8"/>
      <c r="L31" s="13" t="str">
        <f>IF(C31="","",G31+SUM(I31:K31))</f>
      </c>
      <c r="M31" s="13" t="str">
        <f>IF(C31="","",H31+SUM(I31:K31))</f>
      </c>
      <c r="N31" s="10" t="str">
        <f>IF(C31="","",IF(D31&gt;O31,"⚠️ 시작일&gt;종료일 오류",IF(COUNTIFS($C$6:$C$55,C31,$D$6:$D$55,"&lt;="&amp;O31,$O$6:$O$55,"&gt;="&amp;D31)&gt;1,"⚠️ 기간 중복","정상")))</f>
      </c>
      <c r="O31" s="11" t="str">
        <f>IF(C31="","",IF(E31="",DATE(2099,12,31),E31))</f>
      </c>
      <c r="P31" s="6"/>
    </row>
    <row r="32">
      <c r="B32" s="10" t="str">
        <f>IF(C32="","",ROW()-5)</f>
      </c>
      <c r="C32" s="5"/>
      <c r="D32" s="7"/>
      <c r="E32" s="7"/>
      <c r="F32" s="9"/>
      <c r="G32" s="8"/>
      <c r="H32" s="8"/>
      <c r="I32" s="8"/>
      <c r="J32" s="8"/>
      <c r="K32" s="8"/>
      <c r="L32" s="13" t="str">
        <f>IF(C32="","",G32+SUM(I32:K32))</f>
      </c>
      <c r="M32" s="13" t="str">
        <f>IF(C32="","",H32+SUM(I32:K32))</f>
      </c>
      <c r="N32" s="10" t="str">
        <f>IF(C32="","",IF(D32&gt;O32,"⚠️ 시작일&gt;종료일 오류",IF(COUNTIFS($C$6:$C$55,C32,$D$6:$D$55,"&lt;="&amp;O32,$O$6:$O$55,"&gt;="&amp;D32)&gt;1,"⚠️ 기간 중복","정상")))</f>
      </c>
      <c r="O32" s="11" t="str">
        <f>IF(C32="","",IF(E32="",DATE(2099,12,31),E32))</f>
      </c>
      <c r="P32" s="6"/>
    </row>
    <row r="33">
      <c r="B33" s="10" t="str">
        <f>IF(C33="","",ROW()-5)</f>
      </c>
      <c r="C33" s="5"/>
      <c r="D33" s="7"/>
      <c r="E33" s="7"/>
      <c r="F33" s="9"/>
      <c r="G33" s="8"/>
      <c r="H33" s="8"/>
      <c r="I33" s="8"/>
      <c r="J33" s="8"/>
      <c r="K33" s="8"/>
      <c r="L33" s="13" t="str">
        <f>IF(C33="","",G33+SUM(I33:K33))</f>
      </c>
      <c r="M33" s="13" t="str">
        <f>IF(C33="","",H33+SUM(I33:K33))</f>
      </c>
      <c r="N33" s="10" t="str">
        <f>IF(C33="","",IF(D33&gt;O33,"⚠️ 시작일&gt;종료일 오류",IF(COUNTIFS($C$6:$C$55,C33,$D$6:$D$55,"&lt;="&amp;O33,$O$6:$O$55,"&gt;="&amp;D33)&gt;1,"⚠️ 기간 중복","정상")))</f>
      </c>
      <c r="O33" s="11" t="str">
        <f>IF(C33="","",IF(E33="",DATE(2099,12,31),E33))</f>
      </c>
      <c r="P33" s="6"/>
    </row>
    <row r="34">
      <c r="B34" s="10" t="str">
        <f>IF(C34="","",ROW()-5)</f>
      </c>
      <c r="C34" s="5"/>
      <c r="D34" s="7"/>
      <c r="E34" s="7"/>
      <c r="F34" s="9"/>
      <c r="G34" s="8"/>
      <c r="H34" s="8"/>
      <c r="I34" s="8"/>
      <c r="J34" s="8"/>
      <c r="K34" s="8"/>
      <c r="L34" s="13" t="str">
        <f>IF(C34="","",G34+SUM(I34:K34))</f>
      </c>
      <c r="M34" s="13" t="str">
        <f>IF(C34="","",H34+SUM(I34:K34))</f>
      </c>
      <c r="N34" s="10" t="str">
        <f>IF(C34="","",IF(D34&gt;O34,"⚠️ 시작일&gt;종료일 오류",IF(COUNTIFS($C$6:$C$55,C34,$D$6:$D$55,"&lt;="&amp;O34,$O$6:$O$55,"&gt;="&amp;D34)&gt;1,"⚠️ 기간 중복","정상")))</f>
      </c>
      <c r="O34" s="11" t="str">
        <f>IF(C34="","",IF(E34="",DATE(2099,12,31),E34))</f>
      </c>
      <c r="P34" s="6"/>
    </row>
    <row r="35">
      <c r="B35" s="10" t="str">
        <f>IF(C35="","",ROW()-5)</f>
      </c>
      <c r="C35" s="5"/>
      <c r="D35" s="7"/>
      <c r="E35" s="7"/>
      <c r="F35" s="9"/>
      <c r="G35" s="8"/>
      <c r="H35" s="8"/>
      <c r="I35" s="8"/>
      <c r="J35" s="8"/>
      <c r="K35" s="8"/>
      <c r="L35" s="13" t="str">
        <f>IF(C35="","",G35+SUM(I35:K35))</f>
      </c>
      <c r="M35" s="13" t="str">
        <f>IF(C35="","",H35+SUM(I35:K35))</f>
      </c>
      <c r="N35" s="10" t="str">
        <f>IF(C35="","",IF(D35&gt;O35,"⚠️ 시작일&gt;종료일 오류",IF(COUNTIFS($C$6:$C$55,C35,$D$6:$D$55,"&lt;="&amp;O35,$O$6:$O$55,"&gt;="&amp;D35)&gt;1,"⚠️ 기간 중복","정상")))</f>
      </c>
      <c r="O35" s="11" t="str">
        <f>IF(C35="","",IF(E35="",DATE(2099,12,31),E35))</f>
      </c>
      <c r="P35" s="6"/>
    </row>
    <row r="36">
      <c r="B36" s="10" t="str">
        <f>IF(C36="","",ROW()-5)</f>
      </c>
      <c r="C36" s="5"/>
      <c r="D36" s="7"/>
      <c r="E36" s="7"/>
      <c r="F36" s="9"/>
      <c r="G36" s="8"/>
      <c r="H36" s="8"/>
      <c r="I36" s="8"/>
      <c r="J36" s="8"/>
      <c r="K36" s="8"/>
      <c r="L36" s="13" t="str">
        <f>IF(C36="","",G36+SUM(I36:K36))</f>
      </c>
      <c r="M36" s="13" t="str">
        <f>IF(C36="","",H36+SUM(I36:K36))</f>
      </c>
      <c r="N36" s="10" t="str">
        <f>IF(C36="","",IF(D36&gt;O36,"⚠️ 시작일&gt;종료일 오류",IF(COUNTIFS($C$6:$C$55,C36,$D$6:$D$55,"&lt;="&amp;O36,$O$6:$O$55,"&gt;="&amp;D36)&gt;1,"⚠️ 기간 중복","정상")))</f>
      </c>
      <c r="O36" s="11" t="str">
        <f>IF(C36="","",IF(E36="",DATE(2099,12,31),E36))</f>
      </c>
      <c r="P36" s="6"/>
    </row>
    <row r="37">
      <c r="B37" s="10" t="str">
        <f>IF(C37="","",ROW()-5)</f>
      </c>
      <c r="C37" s="5"/>
      <c r="D37" s="7"/>
      <c r="E37" s="7"/>
      <c r="F37" s="9"/>
      <c r="G37" s="8"/>
      <c r="H37" s="8"/>
      <c r="I37" s="8"/>
      <c r="J37" s="8"/>
      <c r="K37" s="8"/>
      <c r="L37" s="13" t="str">
        <f>IF(C37="","",G37+SUM(I37:K37))</f>
      </c>
      <c r="M37" s="13" t="str">
        <f>IF(C37="","",H37+SUM(I37:K37))</f>
      </c>
      <c r="N37" s="10" t="str">
        <f>IF(C37="","",IF(D37&gt;O37,"⚠️ 시작일&gt;종료일 오류",IF(COUNTIFS($C$6:$C$55,C37,$D$6:$D$55,"&lt;="&amp;O37,$O$6:$O$55,"&gt;="&amp;D37)&gt;1,"⚠️ 기간 중복","정상")))</f>
      </c>
      <c r="O37" s="11" t="str">
        <f>IF(C37="","",IF(E37="",DATE(2099,12,31),E37))</f>
      </c>
      <c r="P37" s="6"/>
    </row>
    <row r="38">
      <c r="B38" s="10" t="str">
        <f>IF(C38="","",ROW()-5)</f>
      </c>
      <c r="C38" s="5"/>
      <c r="D38" s="7"/>
      <c r="E38" s="7"/>
      <c r="F38" s="9"/>
      <c r="G38" s="8"/>
      <c r="H38" s="8"/>
      <c r="I38" s="8"/>
      <c r="J38" s="8"/>
      <c r="K38" s="8"/>
      <c r="L38" s="13" t="str">
        <f>IF(C38="","",G38+SUM(I38:K38))</f>
      </c>
      <c r="M38" s="13" t="str">
        <f>IF(C38="","",H38+SUM(I38:K38))</f>
      </c>
      <c r="N38" s="10" t="str">
        <f>IF(C38="","",IF(D38&gt;O38,"⚠️ 시작일&gt;종료일 오류",IF(COUNTIFS($C$6:$C$55,C38,$D$6:$D$55,"&lt;="&amp;O38,$O$6:$O$55,"&gt;="&amp;D38)&gt;1,"⚠️ 기간 중복","정상")))</f>
      </c>
      <c r="O38" s="11" t="str">
        <f>IF(C38="","",IF(E38="",DATE(2099,12,31),E38))</f>
      </c>
      <c r="P38" s="6"/>
    </row>
    <row r="39">
      <c r="B39" s="10" t="str">
        <f>IF(C39="","",ROW()-5)</f>
      </c>
      <c r="C39" s="5"/>
      <c r="D39" s="7"/>
      <c r="E39" s="7"/>
      <c r="F39" s="9"/>
      <c r="G39" s="8"/>
      <c r="H39" s="8"/>
      <c r="I39" s="8"/>
      <c r="J39" s="8"/>
      <c r="K39" s="8"/>
      <c r="L39" s="13" t="str">
        <f>IF(C39="","",G39+SUM(I39:K39))</f>
      </c>
      <c r="M39" s="13" t="str">
        <f>IF(C39="","",H39+SUM(I39:K39))</f>
      </c>
      <c r="N39" s="10" t="str">
        <f>IF(C39="","",IF(D39&gt;O39,"⚠️ 시작일&gt;종료일 오류",IF(COUNTIFS($C$6:$C$55,C39,$D$6:$D$55,"&lt;="&amp;O39,$O$6:$O$55,"&gt;="&amp;D39)&gt;1,"⚠️ 기간 중복","정상")))</f>
      </c>
      <c r="O39" s="11" t="str">
        <f>IF(C39="","",IF(E39="",DATE(2099,12,31),E39))</f>
      </c>
      <c r="P39" s="6"/>
    </row>
    <row r="40">
      <c r="B40" s="10" t="str">
        <f>IF(C40="","",ROW()-5)</f>
      </c>
      <c r="C40" s="5"/>
      <c r="D40" s="7"/>
      <c r="E40" s="7"/>
      <c r="F40" s="9"/>
      <c r="G40" s="8"/>
      <c r="H40" s="8"/>
      <c r="I40" s="8"/>
      <c r="J40" s="8"/>
      <c r="K40" s="8"/>
      <c r="L40" s="13" t="str">
        <f>IF(C40="","",G40+SUM(I40:K40))</f>
      </c>
      <c r="M40" s="13" t="str">
        <f>IF(C40="","",H40+SUM(I40:K40))</f>
      </c>
      <c r="N40" s="10" t="str">
        <f>IF(C40="","",IF(D40&gt;O40,"⚠️ 시작일&gt;종료일 오류",IF(COUNTIFS($C$6:$C$55,C40,$D$6:$D$55,"&lt;="&amp;O40,$O$6:$O$55,"&gt;="&amp;D40)&gt;1,"⚠️ 기간 중복","정상")))</f>
      </c>
      <c r="O40" s="11" t="str">
        <f>IF(C40="","",IF(E40="",DATE(2099,12,31),E40))</f>
      </c>
      <c r="P40" s="6"/>
    </row>
    <row r="41">
      <c r="B41" s="10" t="str">
        <f>IF(C41="","",ROW()-5)</f>
      </c>
      <c r="C41" s="5"/>
      <c r="D41" s="7"/>
      <c r="E41" s="7"/>
      <c r="F41" s="9"/>
      <c r="G41" s="8"/>
      <c r="H41" s="8"/>
      <c r="I41" s="8"/>
      <c r="J41" s="8"/>
      <c r="K41" s="8"/>
      <c r="L41" s="13" t="str">
        <f>IF(C41="","",G41+SUM(I41:K41))</f>
      </c>
      <c r="M41" s="13" t="str">
        <f>IF(C41="","",H41+SUM(I41:K41))</f>
      </c>
      <c r="N41" s="10" t="str">
        <f>IF(C41="","",IF(D41&gt;O41,"⚠️ 시작일&gt;종료일 오류",IF(COUNTIFS($C$6:$C$55,C41,$D$6:$D$55,"&lt;="&amp;O41,$O$6:$O$55,"&gt;="&amp;D41)&gt;1,"⚠️ 기간 중복","정상")))</f>
      </c>
      <c r="O41" s="11" t="str">
        <f>IF(C41="","",IF(E41="",DATE(2099,12,31),E41))</f>
      </c>
      <c r="P41" s="6"/>
    </row>
    <row r="42">
      <c r="B42" s="10" t="str">
        <f>IF(C42="","",ROW()-5)</f>
      </c>
      <c r="C42" s="5"/>
      <c r="D42" s="7"/>
      <c r="E42" s="7"/>
      <c r="F42" s="9"/>
      <c r="G42" s="8"/>
      <c r="H42" s="8"/>
      <c r="I42" s="8"/>
      <c r="J42" s="8"/>
      <c r="K42" s="8"/>
      <c r="L42" s="13" t="str">
        <f>IF(C42="","",G42+SUM(I42:K42))</f>
      </c>
      <c r="M42" s="13" t="str">
        <f>IF(C42="","",H42+SUM(I42:K42))</f>
      </c>
      <c r="N42" s="10" t="str">
        <f>IF(C42="","",IF(D42&gt;O42,"⚠️ 시작일&gt;종료일 오류",IF(COUNTIFS($C$6:$C$55,C42,$D$6:$D$55,"&lt;="&amp;O42,$O$6:$O$55,"&gt;="&amp;D42)&gt;1,"⚠️ 기간 중복","정상")))</f>
      </c>
      <c r="O42" s="11" t="str">
        <f>IF(C42="","",IF(E42="",DATE(2099,12,31),E42))</f>
      </c>
      <c r="P42" s="6"/>
    </row>
    <row r="43">
      <c r="B43" s="10" t="str">
        <f>IF(C43="","",ROW()-5)</f>
      </c>
      <c r="C43" s="5"/>
      <c r="D43" s="7"/>
      <c r="E43" s="7"/>
      <c r="F43" s="9"/>
      <c r="G43" s="8"/>
      <c r="H43" s="8"/>
      <c r="I43" s="8"/>
      <c r="J43" s="8"/>
      <c r="K43" s="8"/>
      <c r="L43" s="13" t="str">
        <f>IF(C43="","",G43+SUM(I43:K43))</f>
      </c>
      <c r="M43" s="13" t="str">
        <f>IF(C43="","",H43+SUM(I43:K43))</f>
      </c>
      <c r="N43" s="10" t="str">
        <f>IF(C43="","",IF(D43&gt;O43,"⚠️ 시작일&gt;종료일 오류",IF(COUNTIFS($C$6:$C$55,C43,$D$6:$D$55,"&lt;="&amp;O43,$O$6:$O$55,"&gt;="&amp;D43)&gt;1,"⚠️ 기간 중복","정상")))</f>
      </c>
      <c r="O43" s="11" t="str">
        <f>IF(C43="","",IF(E43="",DATE(2099,12,31),E43))</f>
      </c>
      <c r="P43" s="6"/>
    </row>
    <row r="44">
      <c r="B44" s="10" t="str">
        <f>IF(C44="","",ROW()-5)</f>
      </c>
      <c r="C44" s="5"/>
      <c r="D44" s="7"/>
      <c r="E44" s="7"/>
      <c r="F44" s="9"/>
      <c r="G44" s="8"/>
      <c r="H44" s="8"/>
      <c r="I44" s="8"/>
      <c r="J44" s="8"/>
      <c r="K44" s="8"/>
      <c r="L44" s="13" t="str">
        <f>IF(C44="","",G44+SUM(I44:K44))</f>
      </c>
      <c r="M44" s="13" t="str">
        <f>IF(C44="","",H44+SUM(I44:K44))</f>
      </c>
      <c r="N44" s="10" t="str">
        <f>IF(C44="","",IF(D44&gt;O44,"⚠️ 시작일&gt;종료일 오류",IF(COUNTIFS($C$6:$C$55,C44,$D$6:$D$55,"&lt;="&amp;O44,$O$6:$O$55,"&gt;="&amp;D44)&gt;1,"⚠️ 기간 중복","정상")))</f>
      </c>
      <c r="O44" s="11" t="str">
        <f>IF(C44="","",IF(E44="",DATE(2099,12,31),E44))</f>
      </c>
      <c r="P44" s="6"/>
    </row>
    <row r="45">
      <c r="B45" s="10" t="str">
        <f>IF(C45="","",ROW()-5)</f>
      </c>
      <c r="C45" s="5"/>
      <c r="D45" s="7"/>
      <c r="E45" s="7"/>
      <c r="F45" s="9"/>
      <c r="G45" s="8"/>
      <c r="H45" s="8"/>
      <c r="I45" s="8"/>
      <c r="J45" s="8"/>
      <c r="K45" s="8"/>
      <c r="L45" s="13" t="str">
        <f>IF(C45="","",G45+SUM(I45:K45))</f>
      </c>
      <c r="M45" s="13" t="str">
        <f>IF(C45="","",H45+SUM(I45:K45))</f>
      </c>
      <c r="N45" s="10" t="str">
        <f>IF(C45="","",IF(D45&gt;O45,"⚠️ 시작일&gt;종료일 오류",IF(COUNTIFS($C$6:$C$55,C45,$D$6:$D$55,"&lt;="&amp;O45,$O$6:$O$55,"&gt;="&amp;D45)&gt;1,"⚠️ 기간 중복","정상")))</f>
      </c>
      <c r="O45" s="11" t="str">
        <f>IF(C45="","",IF(E45="",DATE(2099,12,31),E45))</f>
      </c>
      <c r="P45" s="6"/>
    </row>
    <row r="46">
      <c r="B46" s="10" t="str">
        <f>IF(C46="","",ROW()-5)</f>
      </c>
      <c r="C46" s="5"/>
      <c r="D46" s="7"/>
      <c r="E46" s="7"/>
      <c r="F46" s="9"/>
      <c r="G46" s="8"/>
      <c r="H46" s="8"/>
      <c r="I46" s="8"/>
      <c r="J46" s="8"/>
      <c r="K46" s="8"/>
      <c r="L46" s="13" t="str">
        <f>IF(C46="","",G46+SUM(I46:K46))</f>
      </c>
      <c r="M46" s="13" t="str">
        <f>IF(C46="","",H46+SUM(I46:K46))</f>
      </c>
      <c r="N46" s="10" t="str">
        <f>IF(C46="","",IF(D46&gt;O46,"⚠️ 시작일&gt;종료일 오류",IF(COUNTIFS($C$6:$C$55,C46,$D$6:$D$55,"&lt;="&amp;O46,$O$6:$O$55,"&gt;="&amp;D46)&gt;1,"⚠️ 기간 중복","정상")))</f>
      </c>
      <c r="O46" s="11" t="str">
        <f>IF(C46="","",IF(E46="",DATE(2099,12,31),E46))</f>
      </c>
      <c r="P46" s="6"/>
    </row>
    <row r="47">
      <c r="B47" s="10" t="str">
        <f>IF(C47="","",ROW()-5)</f>
      </c>
      <c r="C47" s="5"/>
      <c r="D47" s="7"/>
      <c r="E47" s="7"/>
      <c r="F47" s="9"/>
      <c r="G47" s="8"/>
      <c r="H47" s="8"/>
      <c r="I47" s="8"/>
      <c r="J47" s="8"/>
      <c r="K47" s="8"/>
      <c r="L47" s="13" t="str">
        <f>IF(C47="","",G47+SUM(I47:K47))</f>
      </c>
      <c r="M47" s="13" t="str">
        <f>IF(C47="","",H47+SUM(I47:K47))</f>
      </c>
      <c r="N47" s="10" t="str">
        <f>IF(C47="","",IF(D47&gt;O47,"⚠️ 시작일&gt;종료일 오류",IF(COUNTIFS($C$6:$C$55,C47,$D$6:$D$55,"&lt;="&amp;O47,$O$6:$O$55,"&gt;="&amp;D47)&gt;1,"⚠️ 기간 중복","정상")))</f>
      </c>
      <c r="O47" s="11" t="str">
        <f>IF(C47="","",IF(E47="",DATE(2099,12,31),E47))</f>
      </c>
      <c r="P47" s="6"/>
    </row>
    <row r="48">
      <c r="B48" s="10" t="str">
        <f>IF(C48="","",ROW()-5)</f>
      </c>
      <c r="C48" s="5"/>
      <c r="D48" s="7"/>
      <c r="E48" s="7"/>
      <c r="F48" s="9"/>
      <c r="G48" s="8"/>
      <c r="H48" s="8"/>
      <c r="I48" s="8"/>
      <c r="J48" s="8"/>
      <c r="K48" s="8"/>
      <c r="L48" s="13" t="str">
        <f>IF(C48="","",G48+SUM(I48:K48))</f>
      </c>
      <c r="M48" s="13" t="str">
        <f>IF(C48="","",H48+SUM(I48:K48))</f>
      </c>
      <c r="N48" s="10" t="str">
        <f>IF(C48="","",IF(D48&gt;O48,"⚠️ 시작일&gt;종료일 오류",IF(COUNTIFS($C$6:$C$55,C48,$D$6:$D$55,"&lt;="&amp;O48,$O$6:$O$55,"&gt;="&amp;D48)&gt;1,"⚠️ 기간 중복","정상")))</f>
      </c>
      <c r="O48" s="11" t="str">
        <f>IF(C48="","",IF(E48="",DATE(2099,12,31),E48))</f>
      </c>
      <c r="P48" s="6"/>
    </row>
    <row r="49">
      <c r="B49" s="10" t="str">
        <f>IF(C49="","",ROW()-5)</f>
      </c>
      <c r="C49" s="5"/>
      <c r="D49" s="7"/>
      <c r="E49" s="7"/>
      <c r="F49" s="9"/>
      <c r="G49" s="8"/>
      <c r="H49" s="8"/>
      <c r="I49" s="8"/>
      <c r="J49" s="8"/>
      <c r="K49" s="8"/>
      <c r="L49" s="13" t="str">
        <f>IF(C49="","",G49+SUM(I49:K49))</f>
      </c>
      <c r="M49" s="13" t="str">
        <f>IF(C49="","",H49+SUM(I49:K49))</f>
      </c>
      <c r="N49" s="10" t="str">
        <f>IF(C49="","",IF(D49&gt;O49,"⚠️ 시작일&gt;종료일 오류",IF(COUNTIFS($C$6:$C$55,C49,$D$6:$D$55,"&lt;="&amp;O49,$O$6:$O$55,"&gt;="&amp;D49)&gt;1,"⚠️ 기간 중복","정상")))</f>
      </c>
      <c r="O49" s="11" t="str">
        <f>IF(C49="","",IF(E49="",DATE(2099,12,31),E49))</f>
      </c>
      <c r="P49" s="6"/>
    </row>
    <row r="50">
      <c r="B50" s="10" t="str">
        <f>IF(C50="","",ROW()-5)</f>
      </c>
      <c r="C50" s="5"/>
      <c r="D50" s="7"/>
      <c r="E50" s="7"/>
      <c r="F50" s="9"/>
      <c r="G50" s="8"/>
      <c r="H50" s="8"/>
      <c r="I50" s="8"/>
      <c r="J50" s="8"/>
      <c r="K50" s="8"/>
      <c r="L50" s="13" t="str">
        <f>IF(C50="","",G50+SUM(I50:K50))</f>
      </c>
      <c r="M50" s="13" t="str">
        <f>IF(C50="","",H50+SUM(I50:K50))</f>
      </c>
      <c r="N50" s="10" t="str">
        <f>IF(C50="","",IF(D50&gt;O50,"⚠️ 시작일&gt;종료일 오류",IF(COUNTIFS($C$6:$C$55,C50,$D$6:$D$55,"&lt;="&amp;O50,$O$6:$O$55,"&gt;="&amp;D50)&gt;1,"⚠️ 기간 중복","정상")))</f>
      </c>
      <c r="O50" s="11" t="str">
        <f>IF(C50="","",IF(E50="",DATE(2099,12,31),E50))</f>
      </c>
      <c r="P50" s="6"/>
    </row>
    <row r="51">
      <c r="B51" s="10" t="str">
        <f>IF(C51="","",ROW()-5)</f>
      </c>
      <c r="C51" s="5"/>
      <c r="D51" s="7"/>
      <c r="E51" s="7"/>
      <c r="F51" s="9"/>
      <c r="G51" s="8"/>
      <c r="H51" s="8"/>
      <c r="I51" s="8"/>
      <c r="J51" s="8"/>
      <c r="K51" s="8"/>
      <c r="L51" s="13" t="str">
        <f>IF(C51="","",G51+SUM(I51:K51))</f>
      </c>
      <c r="M51" s="13" t="str">
        <f>IF(C51="","",H51+SUM(I51:K51))</f>
      </c>
      <c r="N51" s="10" t="str">
        <f>IF(C51="","",IF(D51&gt;O51,"⚠️ 시작일&gt;종료일 오류",IF(COUNTIFS($C$6:$C$55,C51,$D$6:$D$55,"&lt;="&amp;O51,$O$6:$O$55,"&gt;="&amp;D51)&gt;1,"⚠️ 기간 중복","정상")))</f>
      </c>
      <c r="O51" s="11" t="str">
        <f>IF(C51="","",IF(E51="",DATE(2099,12,31),E51))</f>
      </c>
      <c r="P51" s="6"/>
    </row>
    <row r="52">
      <c r="B52" s="10" t="str">
        <f>IF(C52="","",ROW()-5)</f>
      </c>
      <c r="C52" s="5"/>
      <c r="D52" s="7"/>
      <c r="E52" s="7"/>
      <c r="F52" s="9"/>
      <c r="G52" s="8"/>
      <c r="H52" s="8"/>
      <c r="I52" s="8"/>
      <c r="J52" s="8"/>
      <c r="K52" s="8"/>
      <c r="L52" s="13" t="str">
        <f>IF(C52="","",G52+SUM(I52:K52))</f>
      </c>
      <c r="M52" s="13" t="str">
        <f>IF(C52="","",H52+SUM(I52:K52))</f>
      </c>
      <c r="N52" s="10" t="str">
        <f>IF(C52="","",IF(D52&gt;O52,"⚠️ 시작일&gt;종료일 오류",IF(COUNTIFS($C$6:$C$55,C52,$D$6:$D$55,"&lt;="&amp;O52,$O$6:$O$55,"&gt;="&amp;D52)&gt;1,"⚠️ 기간 중복","정상")))</f>
      </c>
      <c r="O52" s="11" t="str">
        <f>IF(C52="","",IF(E52="",DATE(2099,12,31),E52))</f>
      </c>
      <c r="P52" s="6"/>
    </row>
    <row r="53">
      <c r="B53" s="10" t="str">
        <f>IF(C53="","",ROW()-5)</f>
      </c>
      <c r="C53" s="5"/>
      <c r="D53" s="7"/>
      <c r="E53" s="7"/>
      <c r="F53" s="9"/>
      <c r="G53" s="8"/>
      <c r="H53" s="8"/>
      <c r="I53" s="8"/>
      <c r="J53" s="8"/>
      <c r="K53" s="8"/>
      <c r="L53" s="13" t="str">
        <f>IF(C53="","",G53+SUM(I53:K53))</f>
      </c>
      <c r="M53" s="13" t="str">
        <f>IF(C53="","",H53+SUM(I53:K53))</f>
      </c>
      <c r="N53" s="10" t="str">
        <f>IF(C53="","",IF(D53&gt;O53,"⚠️ 시작일&gt;종료일 오류",IF(COUNTIFS($C$6:$C$55,C53,$D$6:$D$55,"&lt;="&amp;O53,$O$6:$O$55,"&gt;="&amp;D53)&gt;1,"⚠️ 기간 중복","정상")))</f>
      </c>
      <c r="O53" s="11" t="str">
        <f>IF(C53="","",IF(E53="",DATE(2099,12,31),E53))</f>
      </c>
      <c r="P53" s="6"/>
    </row>
    <row r="54">
      <c r="B54" s="10" t="str">
        <f>IF(C54="","",ROW()-5)</f>
      </c>
      <c r="C54" s="5"/>
      <c r="D54" s="7"/>
      <c r="E54" s="7"/>
      <c r="F54" s="9"/>
      <c r="G54" s="8"/>
      <c r="H54" s="8"/>
      <c r="I54" s="8"/>
      <c r="J54" s="8"/>
      <c r="K54" s="8"/>
      <c r="L54" s="13" t="str">
        <f>IF(C54="","",G54+SUM(I54:K54))</f>
      </c>
      <c r="M54" s="13" t="str">
        <f>IF(C54="","",H54+SUM(I54:K54))</f>
      </c>
      <c r="N54" s="10" t="str">
        <f>IF(C54="","",IF(D54&gt;O54,"⚠️ 시작일&gt;종료일 오류",IF(COUNTIFS($C$6:$C$55,C54,$D$6:$D$55,"&lt;="&amp;O54,$O$6:$O$55,"&gt;="&amp;D54)&gt;1,"⚠️ 기간 중복","정상")))</f>
      </c>
      <c r="O54" s="11" t="str">
        <f>IF(C54="","",IF(E54="",DATE(2099,12,31),E54))</f>
      </c>
      <c r="P54" s="6"/>
    </row>
    <row r="55">
      <c r="B55" s="10" t="str">
        <f>IF(C55="","",ROW()-5)</f>
      </c>
      <c r="C55" s="5"/>
      <c r="D55" s="7"/>
      <c r="E55" s="7"/>
      <c r="F55" s="9"/>
      <c r="G55" s="8"/>
      <c r="H55" s="8"/>
      <c r="I55" s="8"/>
      <c r="J55" s="8"/>
      <c r="K55" s="8"/>
      <c r="L55" s="13" t="str">
        <f>IF(C55="","",G55+SUM(I55:K55))</f>
      </c>
      <c r="M55" s="13" t="str">
        <f>IF(C55="","",H55+SUM(I55:K55))</f>
      </c>
      <c r="N55" s="10" t="str">
        <f>IF(C55="","",IF(D55&gt;O55,"⚠️ 시작일&gt;종료일 오류",IF(COUNTIFS($C$6:$C$55,C55,$D$6:$D$55,"&lt;="&amp;O55,$O$6:$O$55,"&gt;="&amp;D55)&gt;1,"⚠️ 기간 중복","정상")))</f>
      </c>
      <c r="O55" s="11" t="str">
        <f>IF(C55="","",IF(E55="",DATE(2099,12,31),E55))</f>
      </c>
      <c r="P55" s="6"/>
    </row>
  </sheetData>
  <mergeCells count="2">
    <mergeCell ref="B2:P2"/>
    <mergeCell ref="B3:P3"/>
  </mergeCells>
  <conditionalFormatting sqref="N6:N55">
    <cfRule type="containsText" dxfId="1" priority="1" operator="containsText" text="⚠️">
      <formula>NOT(ISERROR(SEARCH("⚠️",N6)))</formula>
    </cfRule>
  </conditionalFormatting>
  <dataValidations count="2">
    <dataValidation type="list" allowBlank="1" showInputMessage="1" promptTitle="판매채널 선택" prompt="비용을 설정할 판매채널을 선택하세요." showErrorMessage="1" sqref="C6:C55">
      <formula1>'6_사용설명서_및_기준관리'!$B$6:$B$25</formula1>
    </dataValidation>
    <dataValidation type="date" operator="greaterThanOrEqual" allowBlank="1" showInputMessage="1" promptTitle="적용 시작일 / 종료일 입력" prompt="YYYY-MM-DD 형식으로 날짜를 입력하거나 선택하세요. (종료일은 비워두면 계속 적용됩니다.)" showErrorMessage="1" sqref="D6:E55">
      <formula1>43831</formula1>
    </dataValidation>
  </dataValidations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 showGridLines="1">
      <pane ySplit="6" topLeftCell="A7" activePane="bottomLeft" state="frozen"/>
    </sheetView>
  </sheetViews>
  <sheetFormatPr defaultRowHeight="20"/>
  <cols>
    <col min="1" max="1" width="3" customWidth="1"/>
    <col min="2" max="2" width="7" customWidth="1"/>
    <col min="3" max="3" width="16" customWidth="1"/>
    <col min="4" max="6" width="13" customWidth="1"/>
    <col min="7" max="7" width="15" customWidth="1"/>
    <col min="8" max="8" width="12" customWidth="1"/>
    <col min="9" max="13" width="15" customWidth="1"/>
    <col min="14" max="14" width="12" customWidth="1"/>
    <col min="15" max="16" width="15" customWidth="1"/>
    <col min="17" max="17" width="3" customWidth="1"/>
    <col min="18" max="28" width="13" customWidth="1"/>
  </cols>
  <sheetData>
    <row r="2" ht="28" customHeight="1">
      <c r="B2" s="1" t="inlineStr">
        <is>
          <t>매출·지출관리 스프레드시트(순이익/실적 자동계산) | 판매채널별 손익 상세 분석</t>
        </is>
      </c>
    </row>
    <row r="3" ht="22" customHeight="1">
      <c r="B3" s="4" t="inlineStr">
        <is>
          <t>연동 시작일</t>
        </is>
      </c>
      <c r="C3" s="4" t="inlineStr">
        <is>
          <t>연동 종료일</t>
        </is>
      </c>
      <c r="D3" s="3" t="inlineStr">
        <is>
          <t>표/그래프 정렬 기준 (드롭다운)</t>
        </is>
      </c>
      <c r="E3" s="3"/>
      <c r="F3" s="3"/>
      <c r="G3" s="4" t="inlineStr">
        <is>
          <t>공통비용 배분 기준</t>
        </is>
      </c>
      <c r="H3" s="4"/>
      <c r="I3" s="4" t="inlineStr">
        <is>
          <t>기간 공통비용 합계</t>
        </is>
      </c>
      <c r="J3" s="4" t="inlineStr">
        <is>
          <t>안내 사항</t>
        </is>
      </c>
      <c r="K3" s="4"/>
      <c r="L3" s="4"/>
      <c r="M3" s="4"/>
      <c r="N3" s="4"/>
      <c r="O3" s="4"/>
      <c r="P3" s="4"/>
    </row>
    <row r="4" ht="25" customHeight="1">
      <c r="B4" s="11">
        <f>'1_매출손익_대시보드'!F4</f>
        <v>46327</v>
      </c>
      <c r="C4" s="11">
        <f>'1_매출손익_대시보드'!G4</f>
        <v>46356</v>
      </c>
      <c r="D4" s="5" t="inlineStr">
        <is>
          <t>순이익 높은순</t>
        </is>
      </c>
      <c r="E4" s="5"/>
      <c r="F4" s="5"/>
      <c r="G4" s="10" t="str">
        <f>'5_목표매출_및_공통비용'!K4</f>
        <v>매출액 비중 배분</v>
      </c>
      <c r="H4" s="10"/>
      <c r="I4" s="12">
        <f>'5_목표매출_및_공통비용'!M26</f>
        <v>800000</v>
      </c>
      <c r="J4" s="22" t="inlineStr">
        <is>
          <t>💡 판매채널별 10kg 미만/이상 주문건수와 비용·순이익을 분석합니다. 적자(&lt;0) 항목은 붉은색으로 강조됩니다.</t>
        </is>
      </c>
      <c r="K4" s="22"/>
      <c r="L4" s="22"/>
      <c r="M4" s="22"/>
      <c r="N4" s="22"/>
      <c r="O4" s="22"/>
      <c r="P4" s="22"/>
    </row>
    <row r="6" ht="24" customHeight="1">
      <c r="B6" s="2" t="inlineStr">
        <is>
          <t>🛒 판매채널별 손익 분석표 (매출액순 / 순이익순 자동 정렬)</t>
        </is>
      </c>
      <c r="R6" s="19" t="inlineStr">
        <is>
          <t>[자동정렬용 원본 집계 데이터]</t>
        </is>
      </c>
    </row>
    <row r="7" ht="28" customHeight="1">
      <c r="B7" s="4" t="inlineStr">
        <is>
          <t>순위</t>
        </is>
      </c>
      <c r="C7" s="4" t="inlineStr">
        <is>
          <t>판매채널명</t>
        </is>
      </c>
      <c r="D7" s="4" t="inlineStr">
        <is>
          <t>10kg 미만
주문건수</t>
        </is>
      </c>
      <c r="E7" s="4" t="inlineStr">
        <is>
          <t>10kg 이상
주문건수</t>
        </is>
      </c>
      <c r="F7" s="4" t="inlineStr">
        <is>
          <t>총 주문건수</t>
        </is>
      </c>
      <c r="G7" s="4" t="inlineStr">
        <is>
          <t>매출액 (원)</t>
        </is>
      </c>
      <c r="H7" s="4" t="inlineStr">
        <is>
          <t>매출 비중</t>
        </is>
      </c>
      <c r="I7" s="4" t="inlineStr">
        <is>
          <t>매출액 수수료</t>
        </is>
      </c>
      <c r="J7" s="4" t="inlineStr">
        <is>
          <t>주문건수 비용
(택배+박스+비닐+리플렛)</t>
        </is>
      </c>
      <c r="K7" s="4" t="inlineStr">
        <is>
          <t>추가 비용</t>
        </is>
      </c>
      <c r="L7" s="4" t="inlineStr">
        <is>
          <t>총비용
(공통비 제외)</t>
        </is>
      </c>
      <c r="M7" s="4" t="inlineStr">
        <is>
          <t>순이익
(공통비 전)</t>
        </is>
      </c>
      <c r="N7" s="4" t="inlineStr">
        <is>
          <t>순이익률
(공통비 전)</t>
        </is>
      </c>
      <c r="O7" s="4" t="inlineStr">
        <is>
          <t>공통비용
배분액</t>
        </is>
      </c>
      <c r="P7" s="4" t="inlineStr">
        <is>
          <t>최종 순이익
(공통비 후)</t>
        </is>
      </c>
      <c r="R7" s="19" t="inlineStr">
        <is>
          <t>정렬점수</t>
        </is>
      </c>
      <c r="S7" s="19" t="inlineStr">
        <is>
          <t>채널명</t>
        </is>
      </c>
      <c r="T7" s="19" t="inlineStr">
        <is>
          <t>미만건수</t>
        </is>
      </c>
      <c r="U7" s="19" t="inlineStr">
        <is>
          <t>이상건수</t>
        </is>
      </c>
      <c r="V7" s="19" t="inlineStr">
        <is>
          <t>총건수</t>
        </is>
      </c>
      <c r="W7" s="19" t="inlineStr">
        <is>
          <t>매출액</t>
        </is>
      </c>
      <c r="X7" s="19" t="inlineStr">
        <is>
          <t>매출수수료</t>
        </is>
      </c>
      <c r="Y7" s="19" t="inlineStr">
        <is>
          <t>건수비용</t>
        </is>
      </c>
      <c r="Z7" s="19" t="inlineStr">
        <is>
          <t>추가비용</t>
        </is>
      </c>
      <c r="AA7" s="19" t="inlineStr">
        <is>
          <t>총비용</t>
        </is>
      </c>
      <c r="AB7" s="19" t="inlineStr">
        <is>
          <t>순이익</t>
        </is>
      </c>
    </row>
    <row r="8">
      <c r="B8" s="10">
        <v>1</v>
      </c>
      <c r="C8" s="23" t="str">
        <f>INDEX($S$8:$S$14,MATCH(LARGE($R$8:$R$14,B8),$R$8:$R$14,0))</f>
        <v>농라</v>
      </c>
      <c r="D8" s="25">
        <f>INDEX($T$8:$T$14,MATCH(LARGE($R$8:$R$14,B8),$R$8:$R$14,0))</f>
        <v>52</v>
      </c>
      <c r="E8" s="25">
        <f>INDEX($U$8:$U$14,MATCH(LARGE($R$8:$R$14,B8),$R$8:$R$14,0))</f>
        <v>27</v>
      </c>
      <c r="F8" s="12">
        <f>D8+E8</f>
        <v>79</v>
      </c>
      <c r="G8" s="25">
        <f>INDEX($W$8:$W$14,MATCH(LARGE($R$8:$R$14,B8),$R$8:$R$14,0))</f>
        <v>3330000</v>
      </c>
      <c r="H8" s="14">
        <f>IFERROR(G8/$G$15,0)</f>
        <v>0.2295760082730093</v>
      </c>
      <c r="I8" s="25">
        <f>INDEX($X$8:$X$14,MATCH(LARGE($R$8:$R$14,B8),$R$8:$R$14,0))</f>
        <v>0</v>
      </c>
      <c r="J8" s="25">
        <f>INDEX($Y$8:$Y$14,MATCH(LARGE($R$8:$R$14,B8),$R$8:$R$14,0))</f>
        <v>374600</v>
      </c>
      <c r="K8" s="25">
        <f>INDEX($Z$8:$Z$14,MATCH(LARGE($R$8:$R$14,B8),$R$8:$R$14,0))</f>
        <v>15000</v>
      </c>
      <c r="L8" s="12">
        <f>SUM(I8:K8)</f>
        <v>389600</v>
      </c>
      <c r="M8" s="13">
        <f>G8-L8</f>
        <v>2940400</v>
      </c>
      <c r="N8" s="14">
        <f>IFERROR(M8/G8,0)</f>
        <v>0.883003003003003</v>
      </c>
      <c r="O8" s="12">
        <f>IF($G$4="매출액 비중 배분",ROUND($I$4*H8,0),IF($G$4="주문건수 비중 배분",ROUND($I$4*IFERROR(F8/$F$15,0),0),0))</f>
        <v>183661</v>
      </c>
      <c r="P8" s="12">
        <f>M8-O8</f>
        <v>2756739</v>
      </c>
      <c r="R8" s="25">
        <f>IF($D$4="매출액 높은순",W8,IF($D$4="순이익 높은순",AB8,-ROW()))+(100-ROW())*0.00001</f>
        <v>2940400.00092</v>
      </c>
      <c r="S8" s="23" t="str">
        <f>'6_사용설명서_및_기준관리'!B6</f>
        <v>농라</v>
      </c>
      <c r="T8" s="25">
        <f>SUMIFS('2_일일매출_입력'!$D$6:$D$305,'2_일일매출_입력'!$C$6:$C$305,S8,'2_일일매출_입력'!$B$6:$B$305,"&gt;="&amp;$B$4,'2_일일매출_입력'!$B$6:$B$305,"&lt;="&amp;$C$4)</f>
        <v>52</v>
      </c>
      <c r="U8" s="25">
        <f>SUMIFS('2_일일매출_입력'!$E$6:$E$305,'2_일일매출_입력'!$C$6:$C$305,S8,'2_일일매출_입력'!$B$6:$B$305,"&gt;="&amp;$B$4,'2_일일매출_입력'!$B$6:$B$305,"&lt;="&amp;$C$4)</f>
        <v>27</v>
      </c>
      <c r="V8" s="25">
        <f>T8+U8</f>
        <v>79</v>
      </c>
      <c r="W8" s="25">
        <f>SUMIFS('2_일일매출_입력'!$G$6:$G$305,'2_일일매출_입력'!$C$6:$C$305,S8,'2_일일매출_입력'!$B$6:$B$305,"&gt;="&amp;$B$4,'2_일일매출_입력'!$B$6:$B$305,"&lt;="&amp;$C$4)</f>
        <v>3330000</v>
      </c>
      <c r="X8" s="25">
        <f>SUMIFS('2_일일매출_입력'!$L$6:$L$305,'2_일일매출_입력'!$C$6:$C$305,S8,'2_일일매출_입력'!$B$6:$B$305,"&gt;="&amp;$B$4,'2_일일매출_입력'!$B$6:$B$305,"&lt;="&amp;$C$4)</f>
        <v>0</v>
      </c>
      <c r="Y8" s="25">
        <f>SUMIFS('2_일일매출_입력'!$O$6:$O$305,'2_일일매출_입력'!$C$6:$C$305,S8,'2_일일매출_입력'!$B$6:$B$305,"&gt;="&amp;$B$4,'2_일일매출_입력'!$B$6:$B$305,"&lt;="&amp;$C$4)</f>
        <v>374600</v>
      </c>
      <c r="Z8" s="25">
        <f>SUMIFS('2_일일매출_입력'!$H$6:$H$305,'2_일일매출_입력'!$C$6:$C$305,S8,'2_일일매출_입력'!$B$6:$B$305,"&gt;="&amp;$B$4,'2_일일매출_입력'!$B$6:$B$305,"&lt;="&amp;$C$4)</f>
        <v>15000</v>
      </c>
      <c r="AA8" s="25">
        <f>SUM(X8:Z8)</f>
        <v>389600</v>
      </c>
      <c r="AB8" s="25">
        <f>W8-AA8</f>
        <v>2940400</v>
      </c>
    </row>
    <row r="9">
      <c r="B9" s="10">
        <v>2</v>
      </c>
      <c r="C9" s="23" t="str">
        <f>INDEX($S$8:$S$14,MATCH(LARGE($R$8:$R$14,B9),$R$8:$R$14,0))</f>
        <v>고흥몰</v>
      </c>
      <c r="D9" s="25">
        <f>INDEX($T$8:$T$14,MATCH(LARGE($R$8:$R$14,B9),$R$8:$R$14,0))</f>
        <v>55</v>
      </c>
      <c r="E9" s="25">
        <f>INDEX($U$8:$U$14,MATCH(LARGE($R$8:$R$14,B9),$R$8:$R$14,0))</f>
        <v>22</v>
      </c>
      <c r="F9" s="12">
        <f>D9+E9</f>
        <v>77</v>
      </c>
      <c r="G9" s="25">
        <f>INDEX($W$8:$W$14,MATCH(LARGE($R$8:$R$14,B9),$R$8:$R$14,0))</f>
        <v>3140000</v>
      </c>
      <c r="H9" s="14">
        <f>IFERROR(G9/$G$15,0)</f>
        <v>0.2164770768700448</v>
      </c>
      <c r="I9" s="25">
        <f>INDEX($X$8:$X$14,MATCH(LARGE($R$8:$R$14,B9),$R$8:$R$14,0))</f>
        <v>125600</v>
      </c>
      <c r="J9" s="25">
        <f>INDEX($Y$8:$Y$14,MATCH(LARGE($R$8:$R$14,B9),$R$8:$R$14,0))</f>
        <v>322300</v>
      </c>
      <c r="K9" s="25">
        <f>INDEX($Z$8:$Z$14,MATCH(LARGE($R$8:$R$14,B9),$R$8:$R$14,0))</f>
        <v>0</v>
      </c>
      <c r="L9" s="12">
        <f>SUM(I9:K9)</f>
        <v>447900</v>
      </c>
      <c r="M9" s="13">
        <f>G9-L9</f>
        <v>2692100</v>
      </c>
      <c r="N9" s="14">
        <f>IFERROR(M9/G9,0)</f>
        <v>0.8573566878980892</v>
      </c>
      <c r="O9" s="12">
        <f>IF($G$4="매출액 비중 배분",ROUND($I$4*H9,0),IF($G$4="주문건수 비중 배분",ROUND($I$4*IFERROR(F9/$F$15,0),0),0))</f>
        <v>173182</v>
      </c>
      <c r="P9" s="12">
        <f>M9-O9</f>
        <v>2518918</v>
      </c>
      <c r="R9" s="25">
        <f>IF($D$4="매출액 높은순",W9,IF($D$4="순이익 높은순",AB9,-ROW()))+(100-ROW())*0.00001</f>
        <v>1986400.00091</v>
      </c>
      <c r="S9" s="23" t="str">
        <f>'6_사용설명서_및_기준관리'!B7</f>
        <v>스마트스토어</v>
      </c>
      <c r="T9" s="25">
        <f>SUMIFS('2_일일매출_입력'!$D$6:$D$305,'2_일일매출_입력'!$C$6:$C$305,S9,'2_일일매출_입력'!$B$6:$B$305,"&gt;="&amp;$B$4,'2_일일매출_입력'!$B$6:$B$305,"&lt;="&amp;$C$4)</f>
        <v>40</v>
      </c>
      <c r="U9" s="25">
        <f>SUMIFS('2_일일매출_입력'!$E$6:$E$305,'2_일일매출_입력'!$C$6:$C$305,S9,'2_일일매출_입력'!$B$6:$B$305,"&gt;="&amp;$B$4,'2_일일매출_입력'!$B$6:$B$305,"&lt;="&amp;$C$4)</f>
        <v>20</v>
      </c>
      <c r="V9" s="25">
        <f>T9+U9</f>
        <v>60</v>
      </c>
      <c r="W9" s="25">
        <f>SUMIFS('2_일일매출_입력'!$G$6:$G$305,'2_일일매출_입력'!$C$6:$C$305,S9,'2_일일매출_입력'!$B$6:$B$305,"&gt;="&amp;$B$4,'2_일일매출_입력'!$B$6:$B$305,"&lt;="&amp;$C$4)</f>
        <v>2400000</v>
      </c>
      <c r="X9" s="25">
        <f>SUMIFS('2_일일매출_입력'!$L$6:$L$305,'2_일일매출_입력'!$C$6:$C$305,S9,'2_일일매출_입력'!$B$6:$B$305,"&gt;="&amp;$B$4,'2_일일매출_입력'!$B$6:$B$305,"&lt;="&amp;$C$4)</f>
        <v>135600</v>
      </c>
      <c r="Y9" s="25">
        <f>SUMIFS('2_일일매출_입력'!$O$6:$O$305,'2_일일매출_입력'!$C$6:$C$305,S9,'2_일일매출_입력'!$B$6:$B$305,"&gt;="&amp;$B$4,'2_일일매출_입력'!$B$6:$B$305,"&lt;="&amp;$C$4)</f>
        <v>278000</v>
      </c>
      <c r="Z9" s="25">
        <f>SUMIFS('2_일일매출_입력'!$H$6:$H$305,'2_일일매출_입력'!$C$6:$C$305,S9,'2_일일매출_입력'!$B$6:$B$305,"&gt;="&amp;$B$4,'2_일일매출_입력'!$B$6:$B$305,"&lt;="&amp;$C$4)</f>
        <v>0</v>
      </c>
      <c r="AA9" s="25">
        <f>SUM(X9:Z9)</f>
        <v>413600</v>
      </c>
      <c r="AB9" s="25">
        <f>W9-AA9</f>
        <v>1986400</v>
      </c>
    </row>
    <row r="10">
      <c r="B10" s="10">
        <v>3</v>
      </c>
      <c r="C10" s="23" t="str">
        <f>INDEX($S$8:$S$14,MATCH(LARGE($R$8:$R$14,B10),$R$8:$R$14,0))</f>
        <v>스마트스토어</v>
      </c>
      <c r="D10" s="25">
        <f>INDEX($T$8:$T$14,MATCH(LARGE($R$8:$R$14,B10),$R$8:$R$14,0))</f>
        <v>40</v>
      </c>
      <c r="E10" s="25">
        <f>INDEX($U$8:$U$14,MATCH(LARGE($R$8:$R$14,B10),$R$8:$R$14,0))</f>
        <v>20</v>
      </c>
      <c r="F10" s="12">
        <f>D10+E10</f>
        <v>60</v>
      </c>
      <c r="G10" s="25">
        <f>INDEX($W$8:$W$14,MATCH(LARGE($R$8:$R$14,B10),$R$8:$R$14,0))</f>
        <v>2400000</v>
      </c>
      <c r="H10" s="14">
        <f>IFERROR(G10/$G$15,0)</f>
        <v>0.1654601861427094</v>
      </c>
      <c r="I10" s="25">
        <f>INDEX($X$8:$X$14,MATCH(LARGE($R$8:$R$14,B10),$R$8:$R$14,0))</f>
        <v>135600</v>
      </c>
      <c r="J10" s="25">
        <f>INDEX($Y$8:$Y$14,MATCH(LARGE($R$8:$R$14,B10),$R$8:$R$14,0))</f>
        <v>278000</v>
      </c>
      <c r="K10" s="25">
        <f>INDEX($Z$8:$Z$14,MATCH(LARGE($R$8:$R$14,B10),$R$8:$R$14,0))</f>
        <v>0</v>
      </c>
      <c r="L10" s="12">
        <f>SUM(I10:K10)</f>
        <v>413600</v>
      </c>
      <c r="M10" s="13">
        <f>G10-L10</f>
        <v>1986400</v>
      </c>
      <c r="N10" s="14">
        <f>IFERROR(M10/G10,0)</f>
        <v>0.8276666666666667</v>
      </c>
      <c r="O10" s="12">
        <f>IF($G$4="매출액 비중 배분",ROUND($I$4*H10,0),IF($G$4="주문건수 비중 배분",ROUND($I$4*IFERROR(F10/$F$15,0),0),0))</f>
        <v>132368</v>
      </c>
      <c r="P10" s="12">
        <f>M10-O10</f>
        <v>1854032</v>
      </c>
      <c r="R10" s="25">
        <f>IF($D$4="매출액 높은순",W10,IF($D$4="순이익 높은순",AB10,-ROW()))+(100-ROW())*0.00001</f>
        <v>1782500.0009</v>
      </c>
      <c r="S10" s="23" t="str">
        <f>'6_사용설명서_및_기준관리'!B8</f>
        <v>카톡</v>
      </c>
      <c r="T10" s="25">
        <f>SUMIFS('2_일일매출_입력'!$D$6:$D$305,'2_일일매출_입력'!$C$6:$C$305,S10,'2_일일매출_입력'!$B$6:$B$305,"&gt;="&amp;$B$4,'2_일일매출_입력'!$B$6:$B$305,"&lt;="&amp;$C$4)</f>
        <v>38</v>
      </c>
      <c r="U10" s="25">
        <f>SUMIFS('2_일일매출_입력'!$E$6:$E$305,'2_일일매출_입력'!$C$6:$C$305,S10,'2_일일매출_입력'!$B$6:$B$305,"&gt;="&amp;$B$4,'2_일일매출_입력'!$B$6:$B$305,"&lt;="&amp;$C$4)</f>
        <v>15</v>
      </c>
      <c r="V10" s="25">
        <f>T10+U10</f>
        <v>53</v>
      </c>
      <c r="W10" s="25">
        <f>SUMIFS('2_일일매출_입력'!$G$6:$G$305,'2_일일매출_입력'!$C$6:$C$305,S10,'2_일일매출_입력'!$B$6:$B$305,"&gt;="&amp;$B$4,'2_일일매출_입력'!$B$6:$B$305,"&lt;="&amp;$C$4)</f>
        <v>2100000</v>
      </c>
      <c r="X10" s="25">
        <f>SUMIFS('2_일일매출_입력'!$L$6:$L$305,'2_일일매출_입력'!$C$6:$C$305,S10,'2_일일매출_입력'!$B$6:$B$305,"&gt;="&amp;$B$4,'2_일일매출_입력'!$B$6:$B$305,"&lt;="&amp;$C$4)</f>
        <v>69300</v>
      </c>
      <c r="Y10" s="25">
        <f>SUMIFS('2_일일매출_입력'!$O$6:$O$305,'2_일일매출_입력'!$C$6:$C$305,S10,'2_일일매출_입력'!$B$6:$B$305,"&gt;="&amp;$B$4,'2_일일매출_입력'!$B$6:$B$305,"&lt;="&amp;$C$4)</f>
        <v>248200</v>
      </c>
      <c r="Z10" s="25">
        <f>SUMIFS('2_일일매출_입력'!$H$6:$H$305,'2_일일매출_입력'!$C$6:$C$305,S10,'2_일일매출_입력'!$B$6:$B$305,"&gt;="&amp;$B$4,'2_일일매출_입력'!$B$6:$B$305,"&lt;="&amp;$C$4)</f>
        <v>0</v>
      </c>
      <c r="AA10" s="25">
        <f>SUM(X10:Z10)</f>
        <v>317500</v>
      </c>
      <c r="AB10" s="25">
        <f>W10-AA10</f>
        <v>1782500</v>
      </c>
    </row>
    <row r="11">
      <c r="B11" s="10">
        <v>4</v>
      </c>
      <c r="C11" s="23" t="str">
        <f>INDEX($S$8:$S$14,MATCH(LARGE($R$8:$R$14,B11),$R$8:$R$14,0))</f>
        <v>카톡</v>
      </c>
      <c r="D11" s="25">
        <f>INDEX($T$8:$T$14,MATCH(LARGE($R$8:$R$14,B11),$R$8:$R$14,0))</f>
        <v>38</v>
      </c>
      <c r="E11" s="25">
        <f>INDEX($U$8:$U$14,MATCH(LARGE($R$8:$R$14,B11),$R$8:$R$14,0))</f>
        <v>15</v>
      </c>
      <c r="F11" s="12">
        <f>D11+E11</f>
        <v>53</v>
      </c>
      <c r="G11" s="25">
        <f>INDEX($W$8:$W$14,MATCH(LARGE($R$8:$R$14,B11),$R$8:$R$14,0))</f>
        <v>2100000</v>
      </c>
      <c r="H11" s="14">
        <f>IFERROR(G11/$G$15,0)</f>
        <v>0.14477766287487073</v>
      </c>
      <c r="I11" s="25">
        <f>INDEX($X$8:$X$14,MATCH(LARGE($R$8:$R$14,B11),$R$8:$R$14,0))</f>
        <v>69300</v>
      </c>
      <c r="J11" s="25">
        <f>INDEX($Y$8:$Y$14,MATCH(LARGE($R$8:$R$14,B11),$R$8:$R$14,0))</f>
        <v>248200</v>
      </c>
      <c r="K11" s="25">
        <f>INDEX($Z$8:$Z$14,MATCH(LARGE($R$8:$R$14,B11),$R$8:$R$14,0))</f>
        <v>0</v>
      </c>
      <c r="L11" s="12">
        <f>SUM(I11:K11)</f>
        <v>317500</v>
      </c>
      <c r="M11" s="13">
        <f>G11-L11</f>
        <v>1782500</v>
      </c>
      <c r="N11" s="14">
        <f>IFERROR(M11/G11,0)</f>
        <v>0.8488095238095238</v>
      </c>
      <c r="O11" s="12">
        <f>IF($G$4="매출액 비중 배분",ROUND($I$4*H11,0),IF($G$4="주문건수 비중 배분",ROUND($I$4*IFERROR(F11/$F$15,0),0),0))</f>
        <v>115822</v>
      </c>
      <c r="P11" s="12">
        <f>M11-O11</f>
        <v>1666678</v>
      </c>
      <c r="R11" s="25">
        <f>IF($D$4="매출액 높은순",W11,IF($D$4="순이익 높은순",AB11,-ROW()))+(100-ROW())*0.00001</f>
        <v>2692100.00089</v>
      </c>
      <c r="S11" s="23" t="str">
        <f>'6_사용설명서_및_기준관리'!B9</f>
        <v>고흥몰</v>
      </c>
      <c r="T11" s="25">
        <f>SUMIFS('2_일일매출_입력'!$D$6:$D$305,'2_일일매출_입력'!$C$6:$C$305,S11,'2_일일매출_입력'!$B$6:$B$305,"&gt;="&amp;$B$4,'2_일일매출_입력'!$B$6:$B$305,"&lt;="&amp;$C$4)</f>
        <v>55</v>
      </c>
      <c r="U11" s="25">
        <f>SUMIFS('2_일일매출_입력'!$E$6:$E$305,'2_일일매출_입력'!$C$6:$C$305,S11,'2_일일매출_입력'!$B$6:$B$305,"&gt;="&amp;$B$4,'2_일일매출_입력'!$B$6:$B$305,"&lt;="&amp;$C$4)</f>
        <v>22</v>
      </c>
      <c r="V11" s="25">
        <f>T11+U11</f>
        <v>77</v>
      </c>
      <c r="W11" s="25">
        <f>SUMIFS('2_일일매출_입력'!$G$6:$G$305,'2_일일매출_입력'!$C$6:$C$305,S11,'2_일일매출_입력'!$B$6:$B$305,"&gt;="&amp;$B$4,'2_일일매출_입력'!$B$6:$B$305,"&lt;="&amp;$C$4)</f>
        <v>3140000</v>
      </c>
      <c r="X11" s="25">
        <f>SUMIFS('2_일일매출_입력'!$L$6:$L$305,'2_일일매출_입력'!$C$6:$C$305,S11,'2_일일매출_입력'!$B$6:$B$305,"&gt;="&amp;$B$4,'2_일일매출_입력'!$B$6:$B$305,"&lt;="&amp;$C$4)</f>
        <v>125600</v>
      </c>
      <c r="Y11" s="25">
        <f>SUMIFS('2_일일매출_입력'!$O$6:$O$305,'2_일일매출_입력'!$C$6:$C$305,S11,'2_일일매출_입력'!$B$6:$B$305,"&gt;="&amp;$B$4,'2_일일매출_입력'!$B$6:$B$305,"&lt;="&amp;$C$4)</f>
        <v>322300</v>
      </c>
      <c r="Z11" s="25">
        <f>SUMIFS('2_일일매출_입력'!$H$6:$H$305,'2_일일매출_입력'!$C$6:$C$305,S11,'2_일일매출_입력'!$B$6:$B$305,"&gt;="&amp;$B$4,'2_일일매출_입력'!$B$6:$B$305,"&lt;="&amp;$C$4)</f>
        <v>0</v>
      </c>
      <c r="AA11" s="25">
        <f>SUM(X11:Z11)</f>
        <v>447900</v>
      </c>
      <c r="AB11" s="25">
        <f>W11-AA11</f>
        <v>2692100</v>
      </c>
    </row>
    <row r="12">
      <c r="B12" s="10">
        <v>5</v>
      </c>
      <c r="C12" s="23" t="str">
        <f>INDEX($S$8:$S$14,MATCH(LARGE($R$8:$R$14,B12),$R$8:$R$14,0))</f>
        <v>남도장터</v>
      </c>
      <c r="D12" s="25">
        <f>INDEX($T$8:$T$14,MATCH(LARGE($R$8:$R$14,B12),$R$8:$R$14,0))</f>
        <v>22</v>
      </c>
      <c r="E12" s="25">
        <f>INDEX($U$8:$U$14,MATCH(LARGE($R$8:$R$14,B12),$R$8:$R$14,0))</f>
        <v>14</v>
      </c>
      <c r="F12" s="12">
        <f>D12+E12</f>
        <v>36</v>
      </c>
      <c r="G12" s="25">
        <f>INDEX($W$8:$W$14,MATCH(LARGE($R$8:$R$14,B12),$R$8:$R$14,0))</f>
        <v>1540000</v>
      </c>
      <c r="H12" s="14">
        <f>IFERROR(G12/$G$15,0)</f>
        <v>0.10617028610823853</v>
      </c>
      <c r="I12" s="25">
        <f>INDEX($X$8:$X$14,MATCH(LARGE($R$8:$R$14,B12),$R$8:$R$14,0))</f>
        <v>77000</v>
      </c>
      <c r="J12" s="25">
        <f>INDEX($Y$8:$Y$14,MATCH(LARGE($R$8:$R$14,B12),$R$8:$R$14,0))</f>
        <v>161600</v>
      </c>
      <c r="K12" s="25">
        <f>INDEX($Z$8:$Z$14,MATCH(LARGE($R$8:$R$14,B12),$R$8:$R$14,0))</f>
        <v>0</v>
      </c>
      <c r="L12" s="12">
        <f>SUM(I12:K12)</f>
        <v>238600</v>
      </c>
      <c r="M12" s="13">
        <f>G12-L12</f>
        <v>1301400</v>
      </c>
      <c r="N12" s="14">
        <f>IFERROR(M12/G12,0)</f>
        <v>0.8450649350649351</v>
      </c>
      <c r="O12" s="12">
        <f>IF($G$4="매출액 비중 배분",ROUND($I$4*H12,0),IF($G$4="주문건수 비중 배분",ROUND($I$4*IFERROR(F12/$F$15,0),0),0))</f>
        <v>84936</v>
      </c>
      <c r="P12" s="12">
        <f>M12-O12</f>
        <v>1216464</v>
      </c>
      <c r="R12" s="25">
        <f>IF($D$4="매출액 높은순",W12,IF($D$4="순이익 높은순",AB12,-ROW()))+(100-ROW())*0.00001</f>
        <v>1301400.00088</v>
      </c>
      <c r="S12" s="23" t="str">
        <f>'6_사용설명서_및_기준관리'!B10</f>
        <v>남도장터</v>
      </c>
      <c r="T12" s="25">
        <f>SUMIFS('2_일일매출_입력'!$D$6:$D$305,'2_일일매출_입력'!$C$6:$C$305,S12,'2_일일매출_입력'!$B$6:$B$305,"&gt;="&amp;$B$4,'2_일일매출_입력'!$B$6:$B$305,"&lt;="&amp;$C$4)</f>
        <v>22</v>
      </c>
      <c r="U12" s="25">
        <f>SUMIFS('2_일일매출_입력'!$E$6:$E$305,'2_일일매출_입력'!$C$6:$C$305,S12,'2_일일매출_입력'!$B$6:$B$305,"&gt;="&amp;$B$4,'2_일일매출_입력'!$B$6:$B$305,"&lt;="&amp;$C$4)</f>
        <v>14</v>
      </c>
      <c r="V12" s="25">
        <f>T12+U12</f>
        <v>36</v>
      </c>
      <c r="W12" s="25">
        <f>SUMIFS('2_일일매출_입력'!$G$6:$G$305,'2_일일매출_입력'!$C$6:$C$305,S12,'2_일일매출_입력'!$B$6:$B$305,"&gt;="&amp;$B$4,'2_일일매출_입력'!$B$6:$B$305,"&lt;="&amp;$C$4)</f>
        <v>1540000</v>
      </c>
      <c r="X12" s="25">
        <f>SUMIFS('2_일일매출_입력'!$L$6:$L$305,'2_일일매출_입력'!$C$6:$C$305,S12,'2_일일매출_입력'!$B$6:$B$305,"&gt;="&amp;$B$4,'2_일일매출_입력'!$B$6:$B$305,"&lt;="&amp;$C$4)</f>
        <v>77000</v>
      </c>
      <c r="Y12" s="25">
        <f>SUMIFS('2_일일매출_입력'!$O$6:$O$305,'2_일일매출_입력'!$C$6:$C$305,S12,'2_일일매출_입력'!$B$6:$B$305,"&gt;="&amp;$B$4,'2_일일매출_입력'!$B$6:$B$305,"&lt;="&amp;$C$4)</f>
        <v>161600</v>
      </c>
      <c r="Z12" s="25">
        <f>SUMIFS('2_일일매출_입력'!$H$6:$H$305,'2_일일매출_입력'!$C$6:$C$305,S12,'2_일일매출_입력'!$B$6:$B$305,"&gt;="&amp;$B$4,'2_일일매출_입력'!$B$6:$B$305,"&lt;="&amp;$C$4)</f>
        <v>0</v>
      </c>
      <c r="AA12" s="25">
        <f>SUM(X12:Z12)</f>
        <v>238600</v>
      </c>
      <c r="AB12" s="25">
        <f>W12-AA12</f>
        <v>1301400</v>
      </c>
    </row>
    <row r="13">
      <c r="B13" s="10">
        <v>6</v>
      </c>
      <c r="C13" s="23" t="str">
        <f>INDEX($S$8:$S$14,MATCH(LARGE($R$8:$R$14,B13),$R$8:$R$14,0))</f>
        <v>로컬푸드</v>
      </c>
      <c r="D13" s="25">
        <f>INDEX($T$8:$T$14,MATCH(LARGE($R$8:$R$14,B13),$R$8:$R$14,0))</f>
        <v>45</v>
      </c>
      <c r="E13" s="25">
        <f>INDEX($U$8:$U$14,MATCH(LARGE($R$8:$R$14,B13),$R$8:$R$14,0))</f>
        <v>5</v>
      </c>
      <c r="F13" s="12">
        <f>D13+E13</f>
        <v>50</v>
      </c>
      <c r="G13" s="25">
        <f>INDEX($W$8:$W$14,MATCH(LARGE($R$8:$R$14,B13),$R$8:$R$14,0))</f>
        <v>1150000</v>
      </c>
      <c r="H13" s="14">
        <f>IFERROR(G13/$G$15,0)</f>
        <v>0.07928300586004826</v>
      </c>
      <c r="I13" s="25">
        <f>INDEX($X$8:$X$14,MATCH(LARGE($R$8:$R$14,B13),$R$8:$R$14,0))</f>
        <v>115000</v>
      </c>
      <c r="J13" s="25">
        <f>INDEX($Y$8:$Y$14,MATCH(LARGE($R$8:$R$14,B13),$R$8:$R$14,0))</f>
        <v>30000</v>
      </c>
      <c r="K13" s="25">
        <f>INDEX($Z$8:$Z$14,MATCH(LARGE($R$8:$R$14,B13),$R$8:$R$14,0))</f>
        <v>0</v>
      </c>
      <c r="L13" s="12">
        <f>SUM(I13:K13)</f>
        <v>145000</v>
      </c>
      <c r="M13" s="13">
        <f>G13-L13</f>
        <v>1005000</v>
      </c>
      <c r="N13" s="14">
        <f>IFERROR(M13/G13,0)</f>
        <v>0.8739130434782608</v>
      </c>
      <c r="O13" s="12">
        <f>IF($G$4="매출액 비중 배분",ROUND($I$4*H13,0),IF($G$4="주문건수 비중 배분",ROUND($I$4*IFERROR(F13/$F$15,0),0),0))</f>
        <v>63426</v>
      </c>
      <c r="P13" s="12">
        <f>M13-O13</f>
        <v>941574</v>
      </c>
      <c r="R13" s="25">
        <f>IF($D$4="매출액 높은순",W13,IF($D$4="순이익 높은순",AB13,-ROW()))+(100-ROW())*0.00001</f>
        <v>1005000.00087</v>
      </c>
      <c r="S13" s="23" t="str">
        <f>'6_사용설명서_및_기준관리'!B11</f>
        <v>로컬푸드</v>
      </c>
      <c r="T13" s="25">
        <f>SUMIFS('2_일일매출_입력'!$D$6:$D$305,'2_일일매출_입력'!$C$6:$C$305,S13,'2_일일매출_입력'!$B$6:$B$305,"&gt;="&amp;$B$4,'2_일일매출_입력'!$B$6:$B$305,"&lt;="&amp;$C$4)</f>
        <v>45</v>
      </c>
      <c r="U13" s="25">
        <f>SUMIFS('2_일일매출_입력'!$E$6:$E$305,'2_일일매출_입력'!$C$6:$C$305,S13,'2_일일매출_입력'!$B$6:$B$305,"&gt;="&amp;$B$4,'2_일일매출_입력'!$B$6:$B$305,"&lt;="&amp;$C$4)</f>
        <v>5</v>
      </c>
      <c r="V13" s="25">
        <f>T13+U13</f>
        <v>50</v>
      </c>
      <c r="W13" s="25">
        <f>SUMIFS('2_일일매출_입력'!$G$6:$G$305,'2_일일매출_입력'!$C$6:$C$305,S13,'2_일일매출_입력'!$B$6:$B$305,"&gt;="&amp;$B$4,'2_일일매출_입력'!$B$6:$B$305,"&lt;="&amp;$C$4)</f>
        <v>1150000</v>
      </c>
      <c r="X13" s="25">
        <f>SUMIFS('2_일일매출_입력'!$L$6:$L$305,'2_일일매출_입력'!$C$6:$C$305,S13,'2_일일매출_입력'!$B$6:$B$305,"&gt;="&amp;$B$4,'2_일일매출_입력'!$B$6:$B$305,"&lt;="&amp;$C$4)</f>
        <v>115000</v>
      </c>
      <c r="Y13" s="25">
        <f>SUMIFS('2_일일매출_입력'!$O$6:$O$305,'2_일일매출_입력'!$C$6:$C$305,S13,'2_일일매출_입력'!$B$6:$B$305,"&gt;="&amp;$B$4,'2_일일매출_입력'!$B$6:$B$305,"&lt;="&amp;$C$4)</f>
        <v>30000</v>
      </c>
      <c r="Z13" s="25">
        <f>SUMIFS('2_일일매출_입력'!$H$6:$H$305,'2_일일매출_입력'!$C$6:$C$305,S13,'2_일일매출_입력'!$B$6:$B$305,"&gt;="&amp;$B$4,'2_일일매출_입력'!$B$6:$B$305,"&lt;="&amp;$C$4)</f>
        <v>0</v>
      </c>
      <c r="AA13" s="25">
        <f>SUM(X13:Z13)</f>
        <v>145000</v>
      </c>
      <c r="AB13" s="25">
        <f>W13-AA13</f>
        <v>1005000</v>
      </c>
    </row>
    <row r="14">
      <c r="B14" s="10">
        <v>7</v>
      </c>
      <c r="C14" s="23" t="str">
        <f>INDEX($S$8:$S$14,MATCH(LARGE($R$8:$R$14,B14),$R$8:$R$14,0))</f>
        <v>기타</v>
      </c>
      <c r="D14" s="25">
        <f>INDEX($T$8:$T$14,MATCH(LARGE($R$8:$R$14,B14),$R$8:$R$14,0))</f>
        <v>27</v>
      </c>
      <c r="E14" s="25">
        <f>INDEX($U$8:$U$14,MATCH(LARGE($R$8:$R$14,B14),$R$8:$R$14,0))</f>
        <v>18</v>
      </c>
      <c r="F14" s="12">
        <f>D14+E14</f>
        <v>45</v>
      </c>
      <c r="G14" s="25">
        <f>INDEX($W$8:$W$14,MATCH(LARGE($R$8:$R$14,B14),$R$8:$R$14,0))</f>
        <v>845000</v>
      </c>
      <c r="H14" s="14">
        <f>IFERROR(G14/$G$15,0)</f>
        <v>0.058255773871078935</v>
      </c>
      <c r="I14" s="25">
        <f>INDEX($X$8:$X$14,MATCH(LARGE($R$8:$R$14,B14),$R$8:$R$14,0))</f>
        <v>25350</v>
      </c>
      <c r="J14" s="25">
        <f>INDEX($Y$8:$Y$14,MATCH(LARGE($R$8:$R$14,B14),$R$8:$R$14,0))</f>
        <v>216000</v>
      </c>
      <c r="K14" s="25">
        <f>INDEX($Z$8:$Z$14,MATCH(LARGE($R$8:$R$14,B14),$R$8:$R$14,0))</f>
        <v>35000</v>
      </c>
      <c r="L14" s="12">
        <f>SUM(I14:K14)</f>
        <v>276350</v>
      </c>
      <c r="M14" s="13">
        <f>G14-L14</f>
        <v>568650</v>
      </c>
      <c r="N14" s="14">
        <f>IFERROR(M14/G14,0)</f>
        <v>0.6729585798816569</v>
      </c>
      <c r="O14" s="12">
        <f>IF($G$4="매출액 비중 배분",ROUND($I$4*H14,0),IF($G$4="주문건수 비중 배분",ROUND($I$4*IFERROR(F14/$F$15,0),0),0))</f>
        <v>46605</v>
      </c>
      <c r="P14" s="12">
        <f>M14-O14</f>
        <v>522045</v>
      </c>
      <c r="R14" s="25">
        <f>IF($D$4="매출액 높은순",W14,IF($D$4="순이익 높은순",AB14,-ROW()))+(100-ROW())*0.00001</f>
        <v>568650.00086</v>
      </c>
      <c r="S14" s="23" t="str">
        <f>'6_사용설명서_및_기준관리'!B12</f>
        <v>기타</v>
      </c>
      <c r="T14" s="25">
        <f>SUMIFS('2_일일매출_입력'!$D$6:$D$305,'2_일일매출_입력'!$C$6:$C$305,S14,'2_일일매출_입력'!$B$6:$B$305,"&gt;="&amp;$B$4,'2_일일매출_입력'!$B$6:$B$305,"&lt;="&amp;$C$4)</f>
        <v>27</v>
      </c>
      <c r="U14" s="25">
        <f>SUMIFS('2_일일매출_입력'!$E$6:$E$305,'2_일일매출_입력'!$C$6:$C$305,S14,'2_일일매출_입력'!$B$6:$B$305,"&gt;="&amp;$B$4,'2_일일매출_입력'!$B$6:$B$305,"&lt;="&amp;$C$4)</f>
        <v>18</v>
      </c>
      <c r="V14" s="25">
        <f>T14+U14</f>
        <v>45</v>
      </c>
      <c r="W14" s="25">
        <f>SUMIFS('2_일일매출_입력'!$G$6:$G$305,'2_일일매출_입력'!$C$6:$C$305,S14,'2_일일매출_입력'!$B$6:$B$305,"&gt;="&amp;$B$4,'2_일일매출_입력'!$B$6:$B$305,"&lt;="&amp;$C$4)</f>
        <v>845000</v>
      </c>
      <c r="X14" s="25">
        <f>SUMIFS('2_일일매출_입력'!$L$6:$L$305,'2_일일매출_입력'!$C$6:$C$305,S14,'2_일일매출_입력'!$B$6:$B$305,"&gt;="&amp;$B$4,'2_일일매출_입력'!$B$6:$B$305,"&lt;="&amp;$C$4)</f>
        <v>25350</v>
      </c>
      <c r="Y14" s="25">
        <f>SUMIFS('2_일일매출_입력'!$O$6:$O$305,'2_일일매출_입력'!$C$6:$C$305,S14,'2_일일매출_입력'!$B$6:$B$305,"&gt;="&amp;$B$4,'2_일일매출_입력'!$B$6:$B$305,"&lt;="&amp;$C$4)</f>
        <v>216000</v>
      </c>
      <c r="Z14" s="25">
        <f>SUMIFS('2_일일매출_입력'!$H$6:$H$305,'2_일일매출_입력'!$C$6:$C$305,S14,'2_일일매출_입력'!$B$6:$B$305,"&gt;="&amp;$B$4,'2_일일매출_입력'!$B$6:$B$305,"&lt;="&amp;$C$4)</f>
        <v>35000</v>
      </c>
      <c r="AA14" s="25">
        <f>SUM(X14:Z14)</f>
        <v>276350</v>
      </c>
      <c r="AB14" s="25">
        <f>W14-AA14</f>
        <v>568650</v>
      </c>
    </row>
    <row r="15">
      <c r="B15" s="16" t="inlineStr">
        <is>
          <t>합계</t>
        </is>
      </c>
      <c r="C15" s="16" t="inlineStr">
        <is>
          <t>전체 7개 판매채널</t>
        </is>
      </c>
      <c r="D15" s="17">
        <f>SUM(D8:D14)</f>
        <v>279</v>
      </c>
      <c r="E15" s="17">
        <f>SUM(E8:E14)</f>
        <v>121</v>
      </c>
      <c r="F15" s="17">
        <f>SUM(F8:F14)</f>
        <v>400</v>
      </c>
      <c r="G15" s="17">
        <f>SUM(G8:G14)</f>
        <v>14505000</v>
      </c>
      <c r="H15" s="18">
        <f>IFERROR(SUM(H8:H14),0)</f>
        <v>1</v>
      </c>
      <c r="I15" s="17">
        <f>SUM(I8:I14)</f>
        <v>547850</v>
      </c>
      <c r="J15" s="17">
        <f>SUM(J8:J14)</f>
        <v>1630700</v>
      </c>
      <c r="K15" s="17">
        <f>SUM(K8:K14)</f>
        <v>50000</v>
      </c>
      <c r="L15" s="17">
        <f>SUM(L8:L14)</f>
        <v>2228550</v>
      </c>
      <c r="M15" s="17">
        <f>G15-L15</f>
        <v>12276450</v>
      </c>
      <c r="N15" s="18">
        <f>IFERROR(M15/G15,0)</f>
        <v>0.8463598759048604</v>
      </c>
      <c r="O15" s="17">
        <f>SUM(O8:O14)</f>
        <v>800000</v>
      </c>
      <c r="P15" s="17">
        <f>M15-O15</f>
        <v>11476450</v>
      </c>
    </row>
    <row r="17">
      <c r="B17" s="2" t="inlineStr">
        <is>
          <t>📈 판매채널별 매출·순이익 비교 그래프</t>
        </is>
      </c>
    </row>
  </sheetData>
  <mergeCells count="9">
    <mergeCell ref="B2:P2"/>
    <mergeCell ref="D3:F3"/>
    <mergeCell ref="G3:H3"/>
    <mergeCell ref="J3:P3"/>
    <mergeCell ref="D4:F4"/>
    <mergeCell ref="G4:H4"/>
    <mergeCell ref="J4:P4"/>
    <mergeCell ref="B6:P6"/>
    <mergeCell ref="R6:AA6"/>
  </mergeCells>
  <conditionalFormatting sqref="M8:P15">
    <cfRule type="cellIs" dxfId="0" priority="1" operator="lessThan">
      <formula>0</formula>
    </cfRule>
  </conditionalFormatting>
  <dataValidations count="1">
    <dataValidation type="list" allowBlank="1" showInputMessage="1" promptTitle="정렬 기준 선택" prompt="순이익 높은순 또는 매출액 높은순을 선택하면 표와 그래프가 자동 재정렬됩니다." showErrorMessage="1" sqref="D4:F4">
      <formula1>"순이익 높은순,매출액 높은순,입력(기본)순"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 showGridLines="1">
      <pane ySplit="6" topLeftCell="A7" activePane="bottomLeft" state="frozen"/>
    </sheetView>
  </sheetViews>
  <sheetFormatPr defaultRowHeight="20"/>
  <cols>
    <col min="1" max="1" width="3" customWidth="1"/>
    <col min="2" max="2" width="12" customWidth="1"/>
    <col min="3" max="4" width="15" customWidth="1"/>
    <col min="5" max="7" width="18" customWidth="1"/>
    <col min="8" max="8" width="4" customWidth="1"/>
    <col min="9" max="9" width="15" customWidth="1"/>
    <col min="10" max="10" width="20" customWidth="1"/>
    <col min="11" max="11" width="16" customWidth="1"/>
    <col min="12" max="13" width="14" customWidth="1"/>
    <col min="14" max="14" width="32" customWidth="1"/>
  </cols>
  <sheetData>
    <row r="2" ht="28" customHeight="1">
      <c r="B2" s="1" t="inlineStr">
        <is>
          <t>매출·지출관리 스프레드시트(순이익/실적 자동계산) | 목표매출(2026.11~2027.10) 및 공통비용 설정</t>
        </is>
      </c>
    </row>
    <row r="3" ht="34" customHeight="1">
      <c r="B3" s="22" t="inlineStr">
        <is>
          <t>💡 [목표설정 기간: 2026년 11월 ~ 2027년 10월] 노란색 셀에 월별 목표매출을 입력하면 상단과 하단에 [12개월 목표매출 총합계]와 [현재 조회기간 목표매출 합계]가 자동 계산됩니다.</t>
        </is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</row>
    <row r="4" ht="26" customHeight="1">
      <c r="B4" s="4" t="inlineStr">
        <is>
          <t>12개월 목표매출 총합계</t>
        </is>
      </c>
      <c r="C4" s="4"/>
      <c r="D4" s="13">
        <f>SUM(E7:E18)</f>
        <v>140000000</v>
      </c>
      <c r="E4" s="4" t="inlineStr">
        <is>
          <t>현재 조회기간 목표매출 합계</t>
        </is>
      </c>
      <c r="F4" s="4"/>
      <c r="G4" s="13">
        <f>SUM(G7:G18)</f>
        <v>12000000</v>
      </c>
      <c r="I4" s="3" t="inlineStr">
        <is>
          <t>공통비용 배분 기준 선택</t>
        </is>
      </c>
      <c r="J4" s="3"/>
      <c r="K4" s="5" t="inlineStr">
        <is>
          <t>매출액 비중 배분</t>
        </is>
      </c>
      <c r="L4" s="5"/>
    </row>
    <row r="6" ht="28" customHeight="1">
      <c r="B6" s="4" t="inlineStr">
        <is>
          <t>대상 연월
(26.11~27.10)</t>
        </is>
      </c>
      <c r="C6" s="4" t="inlineStr">
        <is>
          <t>월 시작일</t>
        </is>
      </c>
      <c r="D6" s="4" t="inlineStr">
        <is>
          <t>월 종료일</t>
        </is>
      </c>
      <c r="E6" s="3" t="inlineStr">
        <is>
          <t>월별 목표매출 (원)
(직접입력)</t>
        </is>
      </c>
      <c r="F6" s="4" t="inlineStr">
        <is>
          <t>일할 목표매출 (원/일)
(자동계산)</t>
        </is>
      </c>
      <c r="G6" s="4" t="inlineStr">
        <is>
          <t>조회기간 반영 목표매출
(대시보드 연동)</t>
        </is>
      </c>
      <c r="I6" s="3" t="inlineStr">
        <is>
          <t>지출/귀속일자
(직접입력)</t>
        </is>
      </c>
      <c r="J6" s="3" t="inlineStr">
        <is>
          <t>공통비용 항목
(광고비/임대료 등)</t>
        </is>
      </c>
      <c r="K6" s="3" t="inlineStr">
        <is>
          <t>금액 (원)
(직접입력)</t>
        </is>
      </c>
      <c r="L6" s="4" t="inlineStr">
        <is>
          <t>귀속 연월
(자동표시)</t>
        </is>
      </c>
      <c r="M6" s="4" t="inlineStr">
        <is>
          <t>현재 조회기간
포함 여부</t>
        </is>
      </c>
      <c r="N6" s="3" t="inlineStr">
        <is>
          <t>비고 (상세 내역 메모)</t>
        </is>
      </c>
    </row>
    <row r="7">
      <c r="B7" s="10" t="inlineStr">
        <is>
          <t>26년 11월</t>
        </is>
      </c>
      <c r="C7" s="11">
        <v>46327</v>
      </c>
      <c r="D7" s="11">
        <v>46356</v>
      </c>
      <c r="E7" s="8">
        <v>12000000</v>
      </c>
      <c r="F7" s="12">
        <f>ROUND(E7/DAY(D7),0)</f>
        <v>400000</v>
      </c>
      <c r="G7" s="13">
        <f>IF(OR('1_매출손익_대시보드'!$G$4&lt;C7,'1_매출손익_대시보드'!$F$4&gt;D7),0,IF(AND('1_매출손익_대시보드'!$F$4&lt;=C7,'1_매출손익_대시보드'!$G$4&gt;=D7),E7,ROUND(E7*(MIN('1_매출손익_대시보드'!$G$4,D7)-MAX('1_매출손익_대시보드'!$F$4,C7)+1)/DAY(D7),0)))</f>
        <v>12000000</v>
      </c>
      <c r="I7" s="7">
        <v>46351</v>
      </c>
      <c r="J7" s="5" t="inlineStr">
        <is>
          <t>월 광고선전비</t>
        </is>
      </c>
      <c r="K7" s="8">
        <v>300000</v>
      </c>
      <c r="L7" s="10" t="str">
        <f>IF(I7="","",TEXT(I7,"yyyy-mm"))</f>
        <v>2026-11</v>
      </c>
      <c r="M7" s="10" t="str">
        <f>IF(I7="","",IF(AND(I7&gt;='1_매출손익_대시보드'!$F$4,I7&lt;='1_매출손익_대시보드'!$G$4),"포함","제외"))</f>
        <v>포함</v>
      </c>
      <c r="N7" s="6" t="inlineStr">
        <is>
          <t>[예시] 11월 키워드 및 배너 광고비</t>
        </is>
      </c>
    </row>
    <row r="8">
      <c r="B8" s="10" t="inlineStr">
        <is>
          <t>26년 12월</t>
        </is>
      </c>
      <c r="C8" s="11">
        <v>46357</v>
      </c>
      <c r="D8" s="11">
        <v>46387</v>
      </c>
      <c r="E8" s="8">
        <v>15000000</v>
      </c>
      <c r="F8" s="12">
        <f>ROUND(E8/DAY(D8),0)</f>
        <v>483871</v>
      </c>
      <c r="G8" s="13">
        <f>IF(OR('1_매출손익_대시보드'!$G$4&lt;C8,'1_매출손익_대시보드'!$F$4&gt;D8),0,IF(AND('1_매출손익_대시보드'!$F$4&lt;=C8,'1_매출손익_대시보드'!$G$4&gt;=D8),E8,ROUND(E8*(MIN('1_매출손익_대시보드'!$G$4,D8)-MAX('1_매출손익_대시보드'!$F$4,C8)+1)/DAY(D8),0)))</f>
        <v>0</v>
      </c>
      <c r="I8" s="7">
        <v>46351</v>
      </c>
      <c r="J8" s="5" t="inlineStr">
        <is>
          <t>작업장/창고 임대료</t>
        </is>
      </c>
      <c r="K8" s="8">
        <v>400000</v>
      </c>
      <c r="L8" s="10" t="str">
        <f>IF(I8="","",TEXT(I8,"yyyy-mm"))</f>
        <v>2026-11</v>
      </c>
      <c r="M8" s="10" t="str">
        <f>IF(I8="","",IF(AND(I8&gt;='1_매출손익_대시보드'!$F$4,I8&lt;='1_매출손익_대시보드'!$G$4),"포함","제외"))</f>
        <v>포함</v>
      </c>
      <c r="N8" s="6" t="inlineStr">
        <is>
          <t>[예시] 11월 저온창고 임대료</t>
        </is>
      </c>
    </row>
    <row r="9">
      <c r="B9" s="10" t="inlineStr">
        <is>
          <t>27년 1월</t>
        </is>
      </c>
      <c r="C9" s="11">
        <v>46388</v>
      </c>
      <c r="D9" s="11">
        <v>46418</v>
      </c>
      <c r="E9" s="8">
        <v>18000000</v>
      </c>
      <c r="F9" s="12">
        <f>ROUND(E9/DAY(D9),0)</f>
        <v>580645</v>
      </c>
      <c r="G9" s="13">
        <f>IF(OR('1_매출손익_대시보드'!$G$4&lt;C9,'1_매출손익_대시보드'!$F$4&gt;D9),0,IF(AND('1_매출손익_대시보드'!$F$4&lt;=C9,'1_매출손익_대시보드'!$G$4&gt;=D9),E9,ROUND(E9*(MIN('1_매출손익_대시보드'!$G$4,D9)-MAX('1_매출손익_대시보드'!$F$4,C9)+1)/DAY(D9),0)))</f>
        <v>0</v>
      </c>
      <c r="I9" s="7">
        <v>46354</v>
      </c>
      <c r="J9" s="5" t="inlineStr">
        <is>
          <t>공과금/통신/프로그램</t>
        </is>
      </c>
      <c r="K9" s="8">
        <v>100000</v>
      </c>
      <c r="L9" s="10" t="str">
        <f>IF(I9="","",TEXT(I9,"yyyy-mm"))</f>
        <v>2026-11</v>
      </c>
      <c r="M9" s="10" t="str">
        <f>IF(I9="","",IF(AND(I9&gt;='1_매출손익_대시보드'!$F$4,I9&lt;='1_매출손익_대시보드'!$G$4),"포함","제외"))</f>
        <v>포함</v>
      </c>
      <c r="N9" s="6" t="inlineStr">
        <is>
          <t>[예시] 11월 전기료 및 송장프로그램</t>
        </is>
      </c>
    </row>
    <row r="10">
      <c r="B10" s="10" t="inlineStr">
        <is>
          <t>27년 2월</t>
        </is>
      </c>
      <c r="C10" s="11">
        <v>46419</v>
      </c>
      <c r="D10" s="11">
        <v>46446</v>
      </c>
      <c r="E10" s="8">
        <v>14000000</v>
      </c>
      <c r="F10" s="12">
        <f>ROUND(E10/DAY(D10),0)</f>
        <v>500000</v>
      </c>
      <c r="G10" s="13">
        <f>IF(OR('1_매출손익_대시보드'!$G$4&lt;C10,'1_매출손익_대시보드'!$F$4&gt;D10),0,IF(AND('1_매출손익_대시보드'!$F$4&lt;=C10,'1_매출손익_대시보드'!$G$4&gt;=D10),E10,ROUND(E10*(MIN('1_매출손익_대시보드'!$G$4,D10)-MAX('1_매출손익_대시보드'!$F$4,C10)+1)/DAY(D10),0)))</f>
        <v>0</v>
      </c>
      <c r="I10" s="7">
        <v>46381</v>
      </c>
      <c r="J10" s="5" t="inlineStr">
        <is>
          <t>월 광고선전비</t>
        </is>
      </c>
      <c r="K10" s="8">
        <v>350000</v>
      </c>
      <c r="L10" s="10" t="str">
        <f>IF(I10="","",TEXT(I10,"yyyy-mm"))</f>
        <v>2026-12</v>
      </c>
      <c r="M10" s="10" t="str">
        <f>IF(I10="","",IF(AND(I10&gt;='1_매출손익_대시보드'!$F$4,I10&lt;='1_매출손익_대시보드'!$G$4),"포함","제외"))</f>
        <v>제외</v>
      </c>
      <c r="N10" s="6" t="inlineStr">
        <is>
          <t>[예시] 12월 연말 선물세트 광고비</t>
        </is>
      </c>
    </row>
    <row r="11">
      <c r="B11" s="10" t="inlineStr">
        <is>
          <t>27년 3월</t>
        </is>
      </c>
      <c r="C11" s="11">
        <v>46447</v>
      </c>
      <c r="D11" s="11">
        <v>46477</v>
      </c>
      <c r="E11" s="8">
        <v>10000000</v>
      </c>
      <c r="F11" s="12">
        <f>ROUND(E11/DAY(D11),0)</f>
        <v>322581</v>
      </c>
      <c r="G11" s="13">
        <f>IF(OR('1_매출손익_대시보드'!$G$4&lt;C11,'1_매출손익_대시보드'!$F$4&gt;D11),0,IF(AND('1_매출손익_대시보드'!$F$4&lt;=C11,'1_매출손익_대시보드'!$G$4&gt;=D11),E11,ROUND(E11*(MIN('1_매출손익_대시보드'!$G$4,D11)-MAX('1_매출손익_대시보드'!$F$4,C11)+1)/DAY(D11),0)))</f>
        <v>0</v>
      </c>
      <c r="I11" s="7">
        <v>46381</v>
      </c>
      <c r="J11" s="5" t="inlineStr">
        <is>
          <t>작업장/창고 임대료</t>
        </is>
      </c>
      <c r="K11" s="8">
        <v>400000</v>
      </c>
      <c r="L11" s="10" t="str">
        <f>IF(I11="","",TEXT(I11,"yyyy-mm"))</f>
        <v>2026-12</v>
      </c>
      <c r="M11" s="10" t="str">
        <f>IF(I11="","",IF(AND(I11&gt;='1_매출손익_대시보드'!$F$4,I11&lt;='1_매출손익_대시보드'!$G$4),"포함","제외"))</f>
        <v>제외</v>
      </c>
      <c r="N11" s="6" t="inlineStr">
        <is>
          <t>[예시] 12월 저온창고 임대료</t>
        </is>
      </c>
    </row>
    <row r="12">
      <c r="B12" s="10" t="inlineStr">
        <is>
          <t>27년 4월</t>
        </is>
      </c>
      <c r="C12" s="11">
        <v>46478</v>
      </c>
      <c r="D12" s="11">
        <v>46507</v>
      </c>
      <c r="E12" s="8">
        <v>9000000</v>
      </c>
      <c r="F12" s="12">
        <f>ROUND(E12/DAY(D12),0)</f>
        <v>300000</v>
      </c>
      <c r="G12" s="13">
        <f>IF(OR('1_매출손익_대시보드'!$G$4&lt;C12,'1_매출손익_대시보드'!$F$4&gt;D12),0,IF(AND('1_매출손익_대시보드'!$F$4&lt;=C12,'1_매출손익_대시보드'!$G$4&gt;=D12),E12,ROUND(E12*(MIN('1_매출손익_대시보드'!$G$4,D12)-MAX('1_매출손익_대시보드'!$F$4,C12)+1)/DAY(D12),0)))</f>
        <v>0</v>
      </c>
      <c r="I12" s="7">
        <v>46412</v>
      </c>
      <c r="J12" s="5" t="inlineStr">
        <is>
          <t>월 광고선전비</t>
        </is>
      </c>
      <c r="K12" s="8">
        <v>400000</v>
      </c>
      <c r="L12" s="10" t="str">
        <f>IF(I12="","",TEXT(I12,"yyyy-mm"))</f>
        <v>2027-01</v>
      </c>
      <c r="M12" s="10" t="str">
        <f>IF(I12="","",IF(AND(I12&gt;='1_매출손익_대시보드'!$F$4,I12&lt;='1_매출손익_대시보드'!$G$4),"포함","제외"))</f>
        <v>제외</v>
      </c>
      <c r="N12" s="6" t="inlineStr">
        <is>
          <t>[예시] 1월 설 명절 집중 광고비</t>
        </is>
      </c>
    </row>
    <row r="13">
      <c r="B13" s="10" t="inlineStr">
        <is>
          <t>27년 5월</t>
        </is>
      </c>
      <c r="C13" s="11">
        <v>46508</v>
      </c>
      <c r="D13" s="11">
        <v>46538</v>
      </c>
      <c r="E13" s="8">
        <v>11000000</v>
      </c>
      <c r="F13" s="12">
        <f>ROUND(E13/DAY(D13),0)</f>
        <v>354839</v>
      </c>
      <c r="G13" s="13">
        <f>IF(OR('1_매출손익_대시보드'!$G$4&lt;C13,'1_매출손익_대시보드'!$F$4&gt;D13),0,IF(AND('1_매출손익_대시보드'!$F$4&lt;=C13,'1_매출손익_대시보드'!$G$4&gt;=D13),E13,ROUND(E13*(MIN('1_매출손익_대시보드'!$G$4,D13)-MAX('1_매출손익_대시보드'!$F$4,C13)+1)/DAY(D13),0)))</f>
        <v>0</v>
      </c>
      <c r="I13" s="7">
        <v>46412</v>
      </c>
      <c r="J13" s="5" t="inlineStr">
        <is>
          <t>작업장/창고 임대료</t>
        </is>
      </c>
      <c r="K13" s="8">
        <v>400000</v>
      </c>
      <c r="L13" s="10" t="str">
        <f>IF(I13="","",TEXT(I13,"yyyy-mm"))</f>
        <v>2027-01</v>
      </c>
      <c r="M13" s="10" t="str">
        <f>IF(I13="","",IF(AND(I13&gt;='1_매출손익_대시보드'!$F$4,I13&lt;='1_매출손익_대시보드'!$G$4),"포함","제외"))</f>
        <v>제외</v>
      </c>
      <c r="N13" s="6" t="inlineStr">
        <is>
          <t>[예시] 1월 저온창고 임대료</t>
        </is>
      </c>
    </row>
    <row r="14">
      <c r="B14" s="10" t="inlineStr">
        <is>
          <t>27년 6월</t>
        </is>
      </c>
      <c r="C14" s="11">
        <v>46539</v>
      </c>
      <c r="D14" s="11">
        <v>46568</v>
      </c>
      <c r="E14" s="8">
        <v>8000000</v>
      </c>
      <c r="F14" s="12">
        <f>ROUND(E14/DAY(D14),0)</f>
        <v>266667</v>
      </c>
      <c r="G14" s="13">
        <f>IF(OR('1_매출손익_대시보드'!$G$4&lt;C14,'1_매출손익_대시보드'!$F$4&gt;D14),0,IF(AND('1_매출손익_대시보드'!$F$4&lt;=C14,'1_매출손익_대시보드'!$G$4&gt;=D14),E14,ROUND(E14*(MIN('1_매출손익_대시보드'!$G$4,D14)-MAX('1_매출손익_대시보드'!$F$4,C14)+1)/DAY(D14),0)))</f>
        <v>0</v>
      </c>
      <c r="I14" s="7">
        <v>46443</v>
      </c>
      <c r="J14" s="5" t="inlineStr">
        <is>
          <t>월 광고선전비</t>
        </is>
      </c>
      <c r="K14" s="8">
        <v>250000</v>
      </c>
      <c r="L14" s="10" t="str">
        <f>IF(I14="","",TEXT(I14,"yyyy-mm"))</f>
        <v>2027-02</v>
      </c>
      <c r="M14" s="10" t="str">
        <f>IF(I14="","",IF(AND(I14&gt;='1_매출손익_대시보드'!$F$4,I14&lt;='1_매출손익_대시보드'!$G$4),"포함","제외"))</f>
        <v>제외</v>
      </c>
      <c r="N14" s="6" t="inlineStr">
        <is>
          <t>[예시] 2월 기본 검색광고비</t>
        </is>
      </c>
    </row>
    <row r="15">
      <c r="B15" s="10" t="inlineStr">
        <is>
          <t>27년 7월</t>
        </is>
      </c>
      <c r="C15" s="11">
        <v>46569</v>
      </c>
      <c r="D15" s="11">
        <v>46599</v>
      </c>
      <c r="E15" s="8">
        <v>7000000</v>
      </c>
      <c r="F15" s="12">
        <f>ROUND(E15/DAY(D15),0)</f>
        <v>225806</v>
      </c>
      <c r="G15" s="13">
        <f>IF(OR('1_매출손익_대시보드'!$G$4&lt;C15,'1_매출손익_대시보드'!$F$4&gt;D15),0,IF(AND('1_매출손익_대시보드'!$F$4&lt;=C15,'1_매출손익_대시보드'!$G$4&gt;=D15),E15,ROUND(E15*(MIN('1_매출손익_대시보드'!$G$4,D15)-MAX('1_매출손익_대시보드'!$F$4,C15)+1)/DAY(D15),0)))</f>
        <v>0</v>
      </c>
      <c r="I15" s="7">
        <v>46443</v>
      </c>
      <c r="J15" s="5" t="inlineStr">
        <is>
          <t>작업장/창고 임대료</t>
        </is>
      </c>
      <c r="K15" s="8">
        <v>400000</v>
      </c>
      <c r="L15" s="10" t="str">
        <f>IF(I15="","",TEXT(I15,"yyyy-mm"))</f>
        <v>2027-02</v>
      </c>
      <c r="M15" s="10" t="str">
        <f>IF(I15="","",IF(AND(I15&gt;='1_매출손익_대시보드'!$F$4,I15&lt;='1_매출손익_대시보드'!$G$4),"포함","제외"))</f>
        <v>제외</v>
      </c>
      <c r="N15" s="6" t="inlineStr">
        <is>
          <t>[예시] 2월 저온창고 임대료</t>
        </is>
      </c>
    </row>
    <row r="16">
      <c r="B16" s="10" t="inlineStr">
        <is>
          <t>27년 8월</t>
        </is>
      </c>
      <c r="C16" s="11">
        <v>46600</v>
      </c>
      <c r="D16" s="11">
        <v>46630</v>
      </c>
      <c r="E16" s="8">
        <v>9000000</v>
      </c>
      <c r="F16" s="12">
        <f>ROUND(E16/DAY(D16),0)</f>
        <v>290323</v>
      </c>
      <c r="G16" s="13">
        <f>IF(OR('1_매출손익_대시보드'!$G$4&lt;C16,'1_매출손익_대시보드'!$F$4&gt;D16),0,IF(AND('1_매출손익_대시보드'!$F$4&lt;=C16,'1_매출손익_대시보드'!$G$4&gt;=D16),E16,ROUND(E16*(MIN('1_매출손익_대시보드'!$G$4,D16)-MAX('1_매출손익_대시보드'!$F$4,C16)+1)/DAY(D16),0)))</f>
        <v>0</v>
      </c>
      <c r="I16" s="7"/>
      <c r="J16" s="5"/>
      <c r="K16" s="8"/>
      <c r="L16" s="10" t="str">
        <f>IF(I16="","",TEXT(I16,"yyyy-mm"))</f>
      </c>
      <c r="M16" s="10" t="str">
        <f>IF(I16="","",IF(AND(I16&gt;='1_매출손익_대시보드'!$F$4,I16&lt;='1_매출손익_대시보드'!$G$4),"포함","제외"))</f>
      </c>
      <c r="N16" s="6"/>
    </row>
    <row r="17">
      <c r="B17" s="10" t="inlineStr">
        <is>
          <t>27년 9월</t>
        </is>
      </c>
      <c r="C17" s="11">
        <v>46631</v>
      </c>
      <c r="D17" s="11">
        <v>46660</v>
      </c>
      <c r="E17" s="8">
        <v>16000000</v>
      </c>
      <c r="F17" s="12">
        <f>ROUND(E17/DAY(D17),0)</f>
        <v>533333</v>
      </c>
      <c r="G17" s="13">
        <f>IF(OR('1_매출손익_대시보드'!$G$4&lt;C17,'1_매출손익_대시보드'!$F$4&gt;D17),0,IF(AND('1_매출손익_대시보드'!$F$4&lt;=C17,'1_매출손익_대시보드'!$G$4&gt;=D17),E17,ROUND(E17*(MIN('1_매출손익_대시보드'!$G$4,D17)-MAX('1_매출손익_대시보드'!$F$4,C17)+1)/DAY(D17),0)))</f>
        <v>0</v>
      </c>
      <c r="I17" s="7"/>
      <c r="J17" s="5"/>
      <c r="K17" s="8"/>
      <c r="L17" s="10" t="str">
        <f>IF(I17="","",TEXT(I17,"yyyy-mm"))</f>
      </c>
      <c r="M17" s="10" t="str">
        <f>IF(I17="","",IF(AND(I17&gt;='1_매출손익_대시보드'!$F$4,I17&lt;='1_매출손익_대시보드'!$G$4),"포함","제외"))</f>
      </c>
      <c r="N17" s="6"/>
    </row>
    <row r="18">
      <c r="B18" s="10" t="inlineStr">
        <is>
          <t>27년 10월</t>
        </is>
      </c>
      <c r="C18" s="11">
        <v>46661</v>
      </c>
      <c r="D18" s="11">
        <v>46691</v>
      </c>
      <c r="E18" s="8">
        <v>11000000</v>
      </c>
      <c r="F18" s="12">
        <f>ROUND(E18/DAY(D18),0)</f>
        <v>354839</v>
      </c>
      <c r="G18" s="13">
        <f>IF(OR('1_매출손익_대시보드'!$G$4&lt;C18,'1_매출손익_대시보드'!$F$4&gt;D18),0,IF(AND('1_매출손익_대시보드'!$F$4&lt;=C18,'1_매출손익_대시보드'!$G$4&gt;=D18),E18,ROUND(E18*(MIN('1_매출손익_대시보드'!$G$4,D18)-MAX('1_매출손익_대시보드'!$F$4,C18)+1)/DAY(D18),0)))</f>
        <v>0</v>
      </c>
      <c r="I18" s="7"/>
      <c r="J18" s="5"/>
      <c r="K18" s="8"/>
      <c r="L18" s="10" t="str">
        <f>IF(I18="","",TEXT(I18,"yyyy-mm"))</f>
      </c>
      <c r="M18" s="10" t="str">
        <f>IF(I18="","",IF(AND(I18&gt;='1_매출손익_대시보드'!$F$4,I18&lt;='1_매출손익_대시보드'!$G$4),"포함","제외"))</f>
      </c>
      <c r="N18" s="6"/>
    </row>
    <row r="19">
      <c r="B19" s="16" t="inlineStr">
        <is>
          <t>목표매출 합계</t>
        </is>
      </c>
      <c r="C19" s="16" t="inlineStr">
        <is>
          <t>2026.11 ~ 2027.10</t>
        </is>
      </c>
      <c r="D19" s="16" t="inlineStr">
        <is>
          <t>총 12개월</t>
        </is>
      </c>
      <c r="E19" s="17">
        <f>SUM(E7:E18)</f>
        <v>140000000</v>
      </c>
      <c r="F19" s="17">
        <f>ROUND(E19/365,0)</f>
        <v>383562</v>
      </c>
      <c r="G19" s="17">
        <f>SUM(G7:G18)</f>
        <v>12000000</v>
      </c>
      <c r="I19" s="7"/>
      <c r="J19" s="5"/>
      <c r="K19" s="8"/>
      <c r="L19" s="10" t="str">
        <f>IF(I19="","",TEXT(I19,"yyyy-mm"))</f>
      </c>
      <c r="M19" s="10" t="str">
        <f>IF(I19="","",IF(AND(I19&gt;='1_매출손익_대시보드'!$F$4,I19&lt;='1_매출손익_대시보드'!$G$4),"포함","제외"))</f>
      </c>
      <c r="N19" s="6"/>
    </row>
    <row r="20">
      <c r="I20" s="7"/>
      <c r="J20" s="5"/>
      <c r="K20" s="8"/>
      <c r="L20" s="10" t="str">
        <f>IF(I20="","",TEXT(I20,"yyyy-mm"))</f>
      </c>
      <c r="M20" s="10" t="str">
        <f>IF(I20="","",IF(AND(I20&gt;='1_매출손익_대시보드'!$F$4,I20&lt;='1_매출손익_대시보드'!$G$4),"포함","제외"))</f>
      </c>
      <c r="N20" s="6"/>
    </row>
    <row r="21">
      <c r="I21" s="7"/>
      <c r="J21" s="5"/>
      <c r="K21" s="8"/>
      <c r="L21" s="10" t="str">
        <f>IF(I21="","",TEXT(I21,"yyyy-mm"))</f>
      </c>
      <c r="M21" s="10" t="str">
        <f>IF(I21="","",IF(AND(I21&gt;='1_매출손익_대시보드'!$F$4,I21&lt;='1_매출손익_대시보드'!$G$4),"포함","제외"))</f>
      </c>
      <c r="N21" s="6"/>
    </row>
    <row r="22">
      <c r="I22" s="7"/>
      <c r="J22" s="5"/>
      <c r="K22" s="8"/>
      <c r="L22" s="10" t="str">
        <f>IF(I22="","",TEXT(I22,"yyyy-mm"))</f>
      </c>
      <c r="M22" s="10" t="str">
        <f>IF(I22="","",IF(AND(I22&gt;='1_매출손익_대시보드'!$F$4,I22&lt;='1_매출손익_대시보드'!$G$4),"포함","제외"))</f>
      </c>
      <c r="N22" s="6"/>
    </row>
    <row r="23">
      <c r="I23" s="7"/>
      <c r="J23" s="5"/>
      <c r="K23" s="8"/>
      <c r="L23" s="10" t="str">
        <f>IF(I23="","",TEXT(I23,"yyyy-mm"))</f>
      </c>
      <c r="M23" s="10" t="str">
        <f>IF(I23="","",IF(AND(I23&gt;='1_매출손익_대시보드'!$F$4,I23&lt;='1_매출손익_대시보드'!$G$4),"포함","제외"))</f>
      </c>
      <c r="N23" s="6"/>
    </row>
    <row r="24">
      <c r="I24" s="7"/>
      <c r="J24" s="5"/>
      <c r="K24" s="8"/>
      <c r="L24" s="10" t="str">
        <f>IF(I24="","",TEXT(I24,"yyyy-mm"))</f>
      </c>
      <c r="M24" s="10" t="str">
        <f>IF(I24="","",IF(AND(I24&gt;='1_매출손익_대시보드'!$F$4,I24&lt;='1_매출손익_대시보드'!$G$4),"포함","제외"))</f>
      </c>
      <c r="N24" s="6"/>
    </row>
    <row r="25">
      <c r="I25" s="7"/>
      <c r="J25" s="5"/>
      <c r="K25" s="8"/>
      <c r="L25" s="10" t="str">
        <f>IF(I25="","",TEXT(I25,"yyyy-mm"))</f>
      </c>
      <c r="M25" s="10" t="str">
        <f>IF(I25="","",IF(AND(I25&gt;='1_매출손익_대시보드'!$F$4,I25&lt;='1_매출손익_대시보드'!$G$4),"포함","제외"))</f>
      </c>
      <c r="N25" s="6"/>
    </row>
    <row r="26">
      <c r="I26" s="16" t="inlineStr">
        <is>
          <t>합계</t>
        </is>
      </c>
      <c r="J26" s="16" t="inlineStr">
        <is>
          <t>전체 누적 공통비용</t>
        </is>
      </c>
      <c r="K26" s="17">
        <f>SUM(K7:K25)</f>
        <v>3000000</v>
      </c>
      <c r="L26" s="16" t="inlineStr">
        <is>
          <t>조회기간 공통비용 →</t>
        </is>
      </c>
      <c r="M26" s="17">
        <f>SUMIFS(K7:K25,I7:I25,"&gt;="&amp;'1_매출손익_대시보드'!$F$4,I7:I25,"&lt;="&amp;'1_매출손익_대시보드'!$G$4)</f>
        <v>800000</v>
      </c>
      <c r="N26" s="16" t="inlineStr">
        <is>
          <t>← 대시보드 및 손익분석 시트에 자동 반영됨</t>
        </is>
      </c>
    </row>
  </sheetData>
  <mergeCells count="6">
    <mergeCell ref="B2:N2"/>
    <mergeCell ref="B3:N3"/>
    <mergeCell ref="B4:C4"/>
    <mergeCell ref="E4:F4"/>
    <mergeCell ref="I4:J4"/>
    <mergeCell ref="K4:L4"/>
  </mergeCells>
  <dataValidations count="1">
    <dataValidation type="list" allowBlank="1" showInputMessage="1" promptTitle="공통비용 배분 기준" prompt="채널별 손익 분석 시 공통비용을 어떤 기준으로 배분할지 선택하세요." showErrorMessage="1" sqref="K4:L4">
      <formula1>"매출액 비중 배분,주문건수 비중 배분,배분 안 함(전체에서만 차감)"</formula1>
    </dataValidation>
  </dataValidations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 showGridLines="1">
      <pane ySplit="5" topLeftCell="A6" activePane="bottomLeft" state="frozen"/>
    </sheetView>
  </sheetViews>
  <sheetFormatPr defaultRowHeight="20"/>
  <cols>
    <col min="1" max="1" width="3" customWidth="1"/>
    <col min="2" max="2" width="22" customWidth="1"/>
    <col min="3" max="3" width="4" customWidth="1"/>
    <col min="4" max="4" width="26" customWidth="1"/>
    <col min="5" max="5" width="85" customWidth="1"/>
  </cols>
  <sheetData>
    <row r="2" ht="28" customHeight="1">
      <c r="B2" s="1" t="inlineStr">
        <is>
          <t>매출·지출관리 스프레드시트(순이익/실적 자동계산) | 사용 설명서 및 판매채널 기준 관리</t>
        </is>
      </c>
    </row>
    <row r="3" ht="32" customHeight="1">
      <c r="B3" s="22" t="inlineStr">
        <is>
          <t>💡 좌측의 [판매채널 목록]의 빈 노란색 칸에 새로운 채널 이름을 입력하시면, [일일 매출 입력] 및 [채널별 비용설정] 시트의 드롭다운 목록에 자동으로 추가됩니다.</t>
        </is>
      </c>
      <c r="C3" s="22"/>
      <c r="D3" s="22"/>
      <c r="E3" s="22"/>
    </row>
    <row r="5" ht="26" customHeight="1">
      <c r="B5" s="3" t="inlineStr">
        <is>
          <t>🛒 판매채널 등록 목록
(기본 7종 + 추가 가능)</t>
        </is>
      </c>
      <c r="D5" s="4" t="inlineStr">
        <is>
          <t>📌 구분 / 핵심 주제</t>
        </is>
      </c>
      <c r="E5" s="4" t="inlineStr">
        <is>
          <t>📖 상세 사용 방법 및 계산 기준 안내 (비개발자 맞춤 가이드)</t>
        </is>
      </c>
    </row>
    <row r="6" ht="38" customHeight="1">
      <c r="B6" s="5" t="inlineStr">
        <is>
          <t>농라</t>
        </is>
      </c>
      <c r="D6" s="16" t="inlineStr">
        <is>
          <t>1. 목표설정 기간 (26.11~27.10)</t>
        </is>
      </c>
      <c r="E6" s="24" t="inlineStr">
        <is>
          <t>• 목표매출 설정 기간은 [2026년 11월]부터 [2027년 10월]까지 12개월로 설정되어 있습니다.
• [5_목표매출_및_공통비용] 시트 상단과 하단에서 12개월 목표매출 총합계와 현재 조회기간의 목표매출 합계를 바로 확인할 수 있습니다.</t>
        </is>
      </c>
    </row>
    <row r="7" ht="18" customHeight="1">
      <c r="B7" s="5" t="inlineStr">
        <is>
          <t>스마트스토어</t>
        </is>
      </c>
      <c r="D7" s="16"/>
      <c r="E7" s="24"/>
    </row>
    <row r="8" ht="38" customHeight="1">
      <c r="B8" s="5" t="inlineStr">
        <is>
          <t>카톡</t>
        </is>
      </c>
      <c r="D8" s="16" t="inlineStr">
        <is>
          <t>2. 10kg 미만 / 10kg 이상 주문 구분</t>
        </is>
      </c>
      <c r="E8" s="24" t="inlineStr">
        <is>
          <t>• [2_일일매출_입력] 시트에서 하루 주문을 [10kg 미만 주문건수]와 [10kg 이상 주문건수]로 나누어 입력합니다.
• 무게 구간별로 택배비가 다르게 설정되어 있어 각 구간 건수에 맞는 택배비와 부자재비(박스+포장비닐+리플렛)가 자동 합산됩니다.</t>
        </is>
      </c>
    </row>
    <row r="9" ht="18" customHeight="1">
      <c r="B9" s="5" t="inlineStr">
        <is>
          <t>고흥몰</t>
        </is>
      </c>
      <c r="D9" s="16"/>
      <c r="E9" s="24"/>
    </row>
    <row r="10" ht="38" customHeight="1">
      <c r="B10" s="5" t="inlineStr">
        <is>
          <t>남도장터</t>
        </is>
      </c>
      <c r="D10" s="16" t="inlineStr">
        <is>
          <t>3. 박스·포장비닐·리플렛 비용 설정</t>
        </is>
      </c>
      <c r="E10" s="24" t="inlineStr">
        <is>
          <t>• [3_채널별_비용설정] 시트에서 채널별·기간별로 [10kg 미만 배송비], [10kg 이상 배송비], 그리고 주문 1건당 [박스 비용], [포장비닐 비용], [리플렛 비용]을 각각 등록합니다.
• 10kg 미만 1건당 비용 = 10kg 미만 배송비 + 박스 + 포장비닐 + 리플렛
• 10kg 이상 1건당 비용 = 10kg 이상 배송비 + 박스 + 포장비닐 + 리플렛</t>
        </is>
      </c>
    </row>
    <row r="11" ht="18" customHeight="1">
      <c r="B11" s="5" t="inlineStr">
        <is>
          <t>로컬푸드</t>
        </is>
      </c>
      <c r="D11" s="16"/>
      <c r="E11" s="24"/>
    </row>
    <row r="12" ht="38" customHeight="1">
      <c r="B12" s="5" t="inlineStr">
        <is>
          <t>기타</t>
        </is>
      </c>
      <c r="D12" s="16" t="inlineStr">
        <is>
          <t>4. 비용 변경 시 기간 이력 관리</t>
        </is>
      </c>
      <c r="E12" s="24" t="inlineStr">
        <is>
          <t>• 택배비나 박스비, 수수료율이 바뀌면 기존 설정 행을 덮어쓰지 마세요.
• 기존 설정의 [적용 종료일]을 입력한 뒤, 아래 새 행에 [새로운 적용 시작일]과 변경된 단가를 등록하면 과거 매출에는 당시 단가가 그대로 유지됩니다.</t>
        </is>
      </c>
    </row>
    <row r="13" ht="18" customHeight="1">
      <c r="B13" s="5"/>
      <c r="D13" s="16"/>
      <c r="E13" s="24"/>
    </row>
    <row r="14" ht="38" customHeight="1">
      <c r="B14" s="5"/>
      <c r="D14" s="16" t="inlineStr">
        <is>
          <t>5. 계산 공식 요약</t>
        </is>
      </c>
      <c r="E14" s="24" t="inlineStr">
        <is>
          <t>• 매출액 기준 수수료 = 일일 매출액 × 해당 날짜의 채널 수수료율
• 주문건수에 따른 비용 = (10kg 미만 주문건수 × 10kg 미만 1건당 비용) + (10kg 이상 주문건수 × 10kg 이상 1건당 비용)
• 총비용 = 매출액 기준 수수료 + 주문건수에 따른 비용 + 추가 비용
• 순이익 = 일일 매출액 − 총비용  |  순이익률 = 순이익 ÷ 일일 매출액 × 100</t>
        </is>
      </c>
    </row>
    <row r="15" ht="18" customHeight="1">
      <c r="B15" s="5"/>
      <c r="D15" s="16"/>
      <c r="E15" s="24"/>
    </row>
    <row r="16">
      <c r="B16" s="5"/>
    </row>
    <row r="17">
      <c r="B17" s="5"/>
    </row>
    <row r="18">
      <c r="B18" s="5"/>
    </row>
    <row r="19">
      <c r="B19" s="5"/>
    </row>
    <row r="20">
      <c r="B20" s="5"/>
    </row>
    <row r="21">
      <c r="B21" s="5"/>
    </row>
    <row r="22">
      <c r="B22" s="5"/>
    </row>
    <row r="23">
      <c r="B23" s="5"/>
    </row>
    <row r="24">
      <c r="B24" s="5"/>
    </row>
    <row r="25">
      <c r="B25" s="5"/>
    </row>
  </sheetData>
  <mergeCells count="12">
    <mergeCell ref="B2:E2"/>
    <mergeCell ref="B3:E3"/>
    <mergeCell ref="D6:D7"/>
    <mergeCell ref="E6:E7"/>
    <mergeCell ref="D8:D9"/>
    <mergeCell ref="E8:E9"/>
    <mergeCell ref="D10:D11"/>
    <mergeCell ref="E10:E11"/>
    <mergeCell ref="D12:D13"/>
    <mergeCell ref="E12:E13"/>
    <mergeCell ref="D14:D15"/>
    <mergeCell ref="E14:E15"/>
  </mergeCells>
</worksheet>
</file>