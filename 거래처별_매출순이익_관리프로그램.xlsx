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1_매출손익_대시보드" sheetId="1" r:id="rId1"/>
    <sheet name="2_일일매출_입력" sheetId="2" r:id="rId2"/>
    <sheet name="3_채널별_비용설정" sheetId="3" r:id="rId3"/>
    <sheet name="4_거래처_채널별_손익분석" sheetId="4" r:id="rId4"/>
    <sheet name="5_목표매출_및_공통비용" sheetId="5" r:id="rId5"/>
    <sheet name="6_사용설명서_및_기준관리" sheetId="6" r:id="rId6"/>
  </sheet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"/>
    <numFmt numFmtId="165" formatCode="0.0%"/>
    <numFmt numFmtId="166" formatCode="0.00%"/>
    <numFmt numFmtId="167" formatCode="yyyy-mm-dd"/>
  </numFmts>
  <fonts count="9">
    <font>
      <sz val="10"/>
      <color rgb="FF1E293B"/>
      <name val="맑은 고딕"/>
    </font>
    <font>
      <b/>
      <sz val="16"/>
      <color rgb="FF0F172A"/>
      <name val="맑은 고딕"/>
    </font>
    <font>
      <b/>
      <sz val="11"/>
      <color rgb="FF1E3A8A"/>
      <name val="맑은 고딕"/>
    </font>
    <font>
      <b/>
      <sz val="10"/>
      <color rgb="FFFFFFFF"/>
      <name val="맑은 고딕"/>
    </font>
    <font>
      <b/>
      <sz val="10"/>
      <color rgb="FF0F172A"/>
      <name val="맑은 고딕"/>
    </font>
    <font>
      <b/>
      <sz val="9"/>
      <color rgb="FF475569"/>
      <name val="맑은 고딕"/>
    </font>
    <font>
      <b/>
      <sz val="14"/>
      <color rgb="FF1E3A8A"/>
      <name val="맑은 고딕"/>
    </font>
    <font>
      <sz val="9.5"/>
      <color rgb="FF1E3A8A"/>
      <name val="맑은 고딕"/>
    </font>
    <font>
      <b/>
      <sz val="10"/>
      <color rgb="FF047857"/>
      <name val="맑은 고딕"/>
    </font>
  </fonts>
  <fills count="12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E3A8A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E0F2FE"/>
      </patternFill>
    </fill>
    <fill>
      <patternFill patternType="solid">
        <fgColor rgb="FFE2E8F0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ECFDF5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8">
    <!-- 0: default -->
    <xf numFmtId="0" fontId="0" fillId="0" borderId="0" xfId="0"/>
    <!-- 1: Title -->
    <xf numFmtId="0" fontId="1" fillId="0" borderId="0" xfId="0" applyFont="1" applyAlignment="1">
      <alignment vertical="center"/>
    </xf>
    <!-- 2: Section Header -->
    <xf numFmtId="0" fontId="2" fillId="0" borderId="0" xfId="0" applyFont="1" applyAlignment="1">
      <alignment vertical="center"/>
    </xf>
    <!-- 3: Table Header Input (Charcoal) -->
    <xf numFmtId="0" fontId="3" fillId="2" borderId="1" xfId="0" applyFont="1" applyFill="1" applyBorder="1" applyAlignment="1">
      <alignment horizontal="center" vertical="center" wrapText="1"/>
    </xf>
    <!-- 4: Table Header Calc (Navy Blue) -->
    <xf numFmtId="0" fontId="3" fillId="3" borderId="1" xfId="0" applyFont="1" applyFill="1" applyBorder="1" applyAlignment="1">
      <alignment horizontal="center" vertical="center" wrapText="1"/>
    </xf>
    <!-- 5: Input Center -->
    <xf numFmtId="0" fontId="0" fillId="4" borderId="1" xfId="0" applyFill="1" applyBorder="1" applyAlignment="1">
      <alignment horizontal="center" vertical="center"/>
    </xf>
    <!-- 6: Input Left -->
    <xf numFmtId="0" fontId="0" fillId="4" borderId="1" xfId="0" applyFill="1" applyBorder="1" applyAlignment="1">
      <alignment horizontal="left" vertical="center"/>
    </xf>
    <!-- 7: Input Date -->
    <xf numFmtId="167" fontId="0" fillId="4" borderId="1" xfId="0" applyNumberFormat="1" applyFill="1" applyBorder="1" applyAlignment="1">
      <alignment horizontal="center" vertical="center"/>
    </xf>
    <!-- 8: Input Currency/Int -->
    <xf numFmtId="164" fontId="0" fillId="4" borderId="1" xfId="0" applyNumberFormat="1" applyFill="1" applyBorder="1" applyAlignment="1">
      <alignment horizontal="right" vertical="center"/>
    </xf>
    <!-- 9: Input Percent 0.00% -->
    <xf numFmtId="166" fontId="0" fillId="4" borderId="1" xfId="0" applyNumberFormat="1" applyFill="1" applyBorder="1" applyAlignment="1">
      <alignment horizontal="right" vertical="center"/>
    </xf>
    <!-- 10: Calc Center -->
    <xf numFmtId="0" fontId="0" fillId="5" borderId="1" xfId="0" applyFill="1" applyBorder="1" applyAlignment="1">
      <alignment horizontal="center" vertical="center"/>
    </xf>
    <!-- 11: Calc Date -->
    <xf numFmtId="167" fontId="0" fillId="5" borderId="1" xfId="0" applyNumberFormat="1" applyFill="1" applyBorder="1" applyAlignment="1">
      <alignment horizontal="center" vertical="center"/>
    </xf>
    <!-- 12: Calc Currency -->
    <xf numFmtId="164" fontId="0" fillId="5" borderId="1" xfId="0" applyNumberFormat="1" applyFill="1" applyBorder="1" applyAlignment="1">
      <alignment horizontal="right" vertical="center"/>
    </xf>
    <!-- 13: Calc Currency Highlight Bold -->
    <xf numFmtId="164" fontId="4" fillId="6" borderId="1" xfId="0" applyNumberFormat="1" applyFont="1" applyFill="1" applyBorder="1" applyAlignment="1">
      <alignment horizontal="right" vertical="center"/>
    </xf>
    <!-- 14: Calc Percent 0.0% -->
    <xf numFmtId="165" fontId="0" fillId="5" borderId="1" xfId="0" applyNumberFormat="1" applyFill="1" applyBorder="1" applyAlignment="1">
      <alignment horizontal="right" vertical="center"/>
    </xf>
    <!-- 15: Calc Percent 0.00% -->
    <xf numFmtId="166" fontId="0" fillId="5" borderId="1" xfId="0" applyNumberFormat="1" applyFill="1" applyBorder="1" applyAlignment="1">
      <alignment horizontal="right" vertical="center"/>
    </xf>
    <!-- 16: Total Row Center -->
    <xf numFmtId="0" fontId="4" fillId="7" borderId="2" xfId="0" applyFont="1" applyFill="1" applyBorder="1" applyAlignment="1">
      <alignment horizontal="center" vertical="center"/>
    </xf>
    <!-- 17: Total Row Currency -->
    <xf numFmtId="164" fontId="4" fillId="7" borderId="2" xfId="0" applyNumberFormat="1" applyFont="1" applyFill="1" applyBorder="1" applyAlignment="1">
      <alignment horizontal="right" vertical="center"/>
    </xf>
    <!-- 18: Total Row Percent -->
    <xf numFmtId="165" fontId="4" fillId="7" borderId="2" xfId="0" applyNumberFormat="1" applyFont="1" applyFill="1" applyBorder="1" applyAlignment="1">
      <alignment horizontal="right" vertical="center"/>
    </xf>
    <!-- 19: KPI Card Label -->
    <xf numFmtId="0" fontId="5" fillId="8" borderId="1" xfId="0" applyFont="1" applyFill="1" applyBorder="1" applyAlignment="1">
      <alignment horizontal="center" vertical="center"/>
    </xf>
    <!-- 20: KPI Card Currency Value -->
    <xf numFmtId="164" fontId="6" fillId="9" borderId="1" xfId="0" applyNumberFormat="1" applyFont="1" applyFill="1" applyBorder="1" applyAlignment="1">
      <alignment horizontal="center" vertical="center"/>
    </xf>
    <!-- 21: KPI Card Percent Value -->
    <xf numFmtId="165" fontId="6" fillId="9" borderId="1" xfId="0" applyNumberFormat="1" applyFont="1" applyFill="1" applyBorder="1" applyAlignment="1">
      <alignment horizontal="center" vertical="center"/>
    </xf>
    <!-- 22: Guide Box -->
    <xf numFmtId="0" fontId="7" fillId="10" borderId="1" xfId="0" applyFont="1" applyFill="1" applyBorder="1" applyAlignment="1">
      <alignment horizontal="left" vertical="center" wrapText="1"/>
    </xf>
    <!-- 23: White Cell Center -->
    <xf numFmtId="0" fontId="0" fillId="9" borderId="1" xfId="0" applyFill="1" applyBorder="1" applyAlignment="1">
      <alignment horizontal="center" vertical="center"/>
    </xf>
    <!-- 24: White Cell Left -->
    <xf numFmtId="0" fontId="0" fillId="9" borderId="1" xfId="0" applyFill="1" applyBorder="1" applyAlignment="1">
      <alignment horizontal="left" vertical="center"/>
    </xf>
    <!-- 25: White Cell Currency -->
    <xf numFmtId="164" fontId="0" fillId="9" borderId="1" xfId="0" applyNumberFormat="1" applyFill="1" applyBorder="1" applyAlignment="1">
      <alignment horizontal="right" vertical="center"/>
    </xf>
    <!-- 26: White Cell Percent -->
    <xf numFmtId="165" fontId="0" fillId="9" borderId="1" xfId="0" applyNumberFormat="1" applyFill="1" applyBorder="1" applyAlignment="1">
      <alignment horizontal="right" vertical="center"/>
    </xf>
    <!-- 27: Status Badge OK -->
    <xf numFmtId="0" fontId="8" fillId="11" borderId="1" xfId="0" applyFont="1" applyFill="1" applyBorder="1" applyAlignment="1">
      <alignment horizontal="center" vertical="center"/>
    </xf>
  </cellXfs>
  <dxfs count="2">
    <!-- dxfId=0: Negative profit or error warning (Red text + Light red background) -->
    <dxf>
      <font>
        <b/>
        <color rgb="FFDC2626"/>
      </font>
      <fill>
        <patternFill patternType="solid">
          <fgColor rgb="FFFEE2E2"/>
        </patternFill>
      </fill>
    </dxf>
    <!-- dxfId=1: Warning count > 0 (Red text + Light red background) -->
    <dxf>
      <font>
        <b/>
        <color rgb="FFB91C1C"/>
      </font>
      <fill>
        <patternFill patternType="solid">
          <fgColor rgb="FFFECACA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>
                <a:solidFill>
                  <a:srgbClr val="1E293B"/>
                </a:solidFill>
              </a:defRPr>
            </a:pPr>
            <a:r>
              <a:rPr lang="ko-KR" sz="1100" b="1"/>
              <a:t>목표매출 vs 실제매출 및 순이익 비교 (선택 기간)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'1_매출손익_대시보드'!$J$41</c:f>
              <c:strCache>
                <c:ptCount val="1"/>
                <c:pt idx="0">
                  <c:v>선택기간 실적 (원)</c:v>
                </c:pt>
              </c:strCache>
            </c:strRef>
          </c:tx>
          <c:spPr>
            <a:solidFill>
              <a:srgbClr val="2563EB"/>
            </a:solidFill>
          </c:spPr>
          <c:invertIfNegative val="0"/>
          <c:cat>
            <c:strRef>
              <c:f>'1_매출손익_대시보드'!$K$40:$N$40</c:f>
              <c:strCache>
                <c:ptCount val="4"/>
                <c:pt idx="0">
                  <c:v>목표매출</c:v>
                </c:pt>
                <c:pt idx="1">
                  <c:v>실제매출</c:v>
                </c:pt>
                <c:pt idx="2">
                  <c:v>순이익(공통비전)</c:v>
                </c:pt>
                <c:pt idx="3">
                  <c:v>최종순이익(공통비후)</c:v>
                </c:pt>
              </c:strCache>
            </c:strRef>
          </c:cat>
          <c:val>
            <c:numRef>
              <c:f>'1_매출손익_대시보드'!$K$41:$N$41</c:f>
              <c:numCache>
                <c:formatCode>#,##0</c:formatCode>
                <c:ptCount val="4"/>
                <c:pt idx="0">
                  <c:v>11000000</c:v>
                </c:pt>
                <c:pt idx="1">
                  <c:v>12180000</c:v>
                </c:pt>
                <c:pt idx="2">
                  <c:v>3966780</c:v>
                </c:pt>
                <c:pt idx="3">
                  <c:v>3116780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15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crossAx val="101"/>
        <c:crosses val="autoZero"/>
        <c:crossBetween val="between"/>
      </c:valAx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CBD5E1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>
                <a:solidFill>
                  <a:srgbClr val="1E293B"/>
                </a:solidFill>
              </a:defRPr>
            </a:pPr>
            <a:r>
              <a:rPr lang="ko-KR" sz="1100" b="1"/>
              <a:t>월별 매출 · 총비용 · 순이익 추이 (연간)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'1_매출손익_대시보드'!$D$30</c:f>
              <c:strCache>
                <c:ptCount val="1"/>
                <c:pt idx="0">
                  <c:v>실제매출</c:v>
                </c:pt>
              </c:strCache>
            </c:strRef>
          </c:tx>
          <c:spPr>
            <a:solidFill>
              <a:srgbClr val="2563EB"/>
            </a:solidFill>
          </c:spPr>
          <c:invertIfNegative val="0"/>
          <c:cat>
            <c:strRef>
              <c:f>'1_매출손익_대시보드'!$B$31:$B$42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'1_매출손익_대시보드'!$D$31:$D$42</c:f>
              <c:numCache>
                <c:formatCode>#,##0</c:formatCode>
                <c:ptCount val="12"/>
                <c:pt idx="0">
                  <c:v>5385000</c:v>
                </c:pt>
                <c:pt idx="1">
                  <c:v>4400000</c:v>
                </c:pt>
                <c:pt idx="2">
                  <c:v>5210000</c:v>
                </c:pt>
                <c:pt idx="3">
                  <c:v>12180000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'1_매출손익_대시보드'!$E$30</c:f>
              <c:strCache>
                <c:ptCount val="1"/>
                <c:pt idx="0">
                  <c:v>총비용(변동)</c:v>
                </c:pt>
              </c:strCache>
            </c:strRef>
          </c:tx>
          <c:spPr>
            <a:solidFill>
              <a:srgbClr val="F59E0B"/>
            </a:solidFill>
          </c:spPr>
          <c:invertIfNegative val="0"/>
          <c:cat>
            <c:strRef>
              <c:f>'1_매출손익_대시보드'!$B$31:$B$42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'1_매출손익_대시보드'!$E$31:$E$42</c:f>
              <c:numCache>
                <c:formatCode>#,##0</c:formatCode>
                <c:ptCount val="12"/>
                <c:pt idx="0">
                  <c:v>3631125</c:v>
                </c:pt>
                <c:pt idx="1">
                  <c:v>2927780</c:v>
                </c:pt>
                <c:pt idx="2">
                  <c:v>3578830</c:v>
                </c:pt>
                <c:pt idx="3">
                  <c:v>8213220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'1_매출손익_대시보드'!$F$30</c:f>
              <c:strCache>
                <c:ptCount val="1"/>
                <c:pt idx="0">
                  <c:v>순이익(공통비전)</c:v>
                </c:pt>
              </c:strCache>
            </c:strRef>
          </c:tx>
          <c:spPr>
            <a:solidFill>
              <a:srgbClr val="10B981"/>
            </a:solidFill>
          </c:spPr>
          <c:invertIfNegative val="0"/>
          <c:cat>
            <c:strRef>
              <c:f>'1_매출손익_대시보드'!$B$31:$B$42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'1_매출손익_대시보드'!$F$31:$F$42</c:f>
              <c:numCache>
                <c:formatCode>#,##0</c:formatCode>
                <c:ptCount val="12"/>
                <c:pt idx="0">
                  <c:v>1753875</c:v>
                </c:pt>
                <c:pt idx="1">
                  <c:v>1472220</c:v>
                </c:pt>
                <c:pt idx="2">
                  <c:v>1631170</c:v>
                </c:pt>
                <c:pt idx="3">
                  <c:v>3966780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5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crossAx val="101"/>
        <c:crosses val="autoZero"/>
        <c:crossBetween val="between"/>
      </c:valAx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CBD5E1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>
                <a:solidFill>
                  <a:srgbClr val="1E293B"/>
                </a:solidFill>
              </a:defRPr>
            </a:pPr>
            <a:r>
              <a:rPr lang="ko-KR" sz="1100" b="1"/>
              <a:t>판매채널별 매출 비중 (금액 및 비율 %)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'1_매출손익_대시보드'!$L$30</c:f>
              <c:strCache>
                <c:ptCount val="1"/>
                <c:pt idx="0">
                  <c:v>매출액 (원)</c:v>
                </c:pt>
              </c:strCache>
            </c:strRef>
          </c:tx>
          <c:dPt>
            <c:idx val="0"/>
            <c:bubble3D val="0"/>
            <c:spPr>
              <a:solidFill>
                <a:srgbClr val="2563EB"/>
              </a:solidFill>
            </c:spPr>
          </c:dPt>
          <c:dPt>
            <c:idx val="1"/>
            <c:bubble3D val="0"/>
            <c:spPr>
              <a:solidFill>
                <a:srgbClr val="10B981"/>
              </a:solidFill>
            </c:spPr>
          </c:dPt>
          <c:dPt>
            <c:idx val="2"/>
            <c:bubble3D val="0"/>
            <c:spPr>
              <a:solidFill>
                <a:srgbClr val="F59E0B"/>
              </a:solidFill>
            </c:spPr>
          </c:dPt>
          <c:dPt>
            <c:idx val="3"/>
            <c:bubble3D val="0"/>
            <c:spPr>
              <a:solidFill>
                <a:srgbClr val="6366F1"/>
              </a:solidFill>
            </c:spPr>
          </c:dPt>
          <c:dPt>
            <c:idx val="4"/>
            <c:bubble3D val="0"/>
            <c:spPr>
              <a:solidFill>
                <a:srgbClr val="EC4899"/>
              </a:solidFill>
            </c:spPr>
          </c:dPt>
          <c:dPt>
            <c:idx val="5"/>
            <c:bubble3D val="0"/>
            <c:spPr>
              <a:solidFill>
                <a:srgbClr val="14B8A6"/>
              </a:solidFill>
            </c:spPr>
          </c:dPt>
          <c:dPt>
            <c:idx val="6"/>
            <c:bubble3D val="0"/>
            <c:spPr>
              <a:solidFill>
                <a:srgbClr val="64748B"/>
              </a:solidFill>
            </c:spPr>
          </c:dPt>
          <c:dLbls>
            <c:numFmt formatCode="#,##0" sourceLinked="0"/>
            <c:showLegendKey val="0"/>
            <c:showVal val="1"/>
            <c:showCatName val="1"/>
            <c:showSerName val="0"/>
            <c:showPercent val="1"/>
            <c:showBubbleSize val="0"/>
            <c:separator>, </c:separator>
          </c:dLbls>
          <c:cat>
            <c:strRef>
              <c:f>'1_매출손익_대시보드'!$J$31:$J$37</c:f>
              <c:strCache>
                <c:ptCount val="7"/>
                <c:pt idx="0">
                  <c:v>농라</c:v>
                </c:pt>
                <c:pt idx="1">
                  <c:v>스마트스토어</c:v>
                </c:pt>
                <c:pt idx="2">
                  <c:v>카톡</c:v>
                </c:pt>
                <c:pt idx="3">
                  <c:v>고흥몰</c:v>
                </c:pt>
                <c:pt idx="4">
                  <c:v>남도장터</c:v>
                </c:pt>
                <c:pt idx="5">
                  <c:v>로컬푸드</c:v>
                </c:pt>
                <c:pt idx="6">
                  <c:v>기타</c:v>
                </c:pt>
              </c:strCache>
            </c:strRef>
          </c:cat>
          <c:val>
            <c:numRef>
              <c:f>'1_매출손익_대시보드'!$L$31:$L$37</c:f>
              <c:numCache>
                <c:formatCode>#,##0</c:formatCode>
                <c:ptCount val="7"/>
                <c:pt idx="0">
                  <c:v>2600000</c:v>
                </c:pt>
                <c:pt idx="1">
                  <c:v>2050000</c:v>
                </c:pt>
                <c:pt idx="2">
                  <c:v>2040000</c:v>
                </c:pt>
                <c:pt idx="3">
                  <c:v>2475000</c:v>
                </c:pt>
                <c:pt idx="4">
                  <c:v>1260000</c:v>
                </c:pt>
                <c:pt idx="5">
                  <c:v>1080000</c:v>
                </c:pt>
                <c:pt idx="6">
                  <c:v>675000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overlay val="0"/>
    </c:legend>
    <c:plotVisOnly val="1"/>
  </c:chart>
  <c:spPr>
    <a:solidFill>
      <a:srgbClr val="FFFFFF"/>
    </a:solidFill>
    <a:ln w="9525">
      <a:solidFill>
        <a:srgbClr val="CBD5E1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>
                <a:solidFill>
                  <a:srgbClr val="1E293B"/>
                </a:solidFill>
              </a:defRPr>
            </a:pPr>
            <a:r>
              <a:rPr lang="ko-KR" sz="1100" b="1"/>
              <a:t>거래처별 순이익 비교 (공통비 반영 전 vs 후)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'4_거래처_채널별_손익분석'!$L$7</c:f>
              <c:strCache>
                <c:ptCount val="1"/>
                <c:pt idx="0">
                  <c:v>순이익(공통비 전)</c:v>
                </c:pt>
              </c:strCache>
            </c:strRef>
          </c:tx>
          <c:spPr>
            <a:solidFill>
              <a:srgbClr val="2563EB"/>
            </a:solidFill>
          </c:spPr>
          <c:invertIfNegative val="0"/>
          <c:cat>
            <c:strRef>
              <c:f>'4_거래처_채널별_손익분석'!$C$8:$C$15</c:f>
              <c:strCache>
                <c:ptCount val="8"/>
                <c:pt idx="0">
                  <c:v>고흥유자농원</c:v>
                </c:pt>
                <c:pt idx="1">
                  <c:v>청정영농조합</c:v>
                </c:pt>
                <c:pt idx="2">
                  <c:v>남도바다수산</c:v>
                </c:pt>
                <c:pt idx="3">
                  <c:v>초록들녘농산</c:v>
                </c:pt>
                <c:pt idx="4">
                  <c:v>해피푸드유통</c:v>
                </c:pt>
                <c:pt idx="5">
                  <c:v>우리동네직판장</c:v>
                </c:pt>
                <c:pt idx="6">
                  <c:v>자체직영(소비자)</c:v>
                </c:pt>
                <c:pt idx="7">
                  <c:v>바른먹거리장터</c:v>
                </c:pt>
              </c:strCache>
            </c:strRef>
          </c:cat>
          <c:val>
            <c:numRef>
              <c:f>'4_거래처_채널별_손익분석'!$L$8:$L$15</c:f>
              <c:numCache>
                <c:formatCode>#,##0</c:formatCode>
                <c:ptCount val="8"/>
                <c:pt idx="0">
                  <c:v>1112800</c:v>
                </c:pt>
                <c:pt idx="1">
                  <c:v>893330</c:v>
                </c:pt>
                <c:pt idx="2">
                  <c:v>665000</c:v>
                </c:pt>
                <c:pt idx="3">
                  <c:v>399400</c:v>
                </c:pt>
                <c:pt idx="4">
                  <c:v>372850</c:v>
                </c:pt>
                <c:pt idx="5">
                  <c:v>340000</c:v>
                </c:pt>
                <c:pt idx="6">
                  <c:v>270250</c:v>
                </c:pt>
                <c:pt idx="7">
                  <c:v>-86850</c:v>
                </c:pt>
              </c:numCache>
            </c:numRef>
          </c:val>
        </c:ser>
        <c:ser>
          <c:idx val="1"/>
          <c:order val="1"/>
          <c:tx>
            <c:strRef>
              <c:f>'4_거래처_채널별_손익분석'!$O$7</c:f>
              <c:strCache>
                <c:ptCount val="1"/>
                <c:pt idx="0">
                  <c:v>최종 순이익(공통비 후)</c:v>
                </c:pt>
              </c:strCache>
            </c:strRef>
          </c:tx>
          <c:spPr>
            <a:solidFill>
              <a:srgbClr val="10B981"/>
            </a:solidFill>
          </c:spPr>
          <c:invertIfNegative val="0"/>
          <c:cat>
            <c:strRef>
              <c:f>'4_거래처_채널별_손익분석'!$C$8:$C$15</c:f>
              <c:strCache>
                <c:ptCount val="8"/>
                <c:pt idx="0">
                  <c:v>고흥유자농원</c:v>
                </c:pt>
                <c:pt idx="1">
                  <c:v>청정영농조합</c:v>
                </c:pt>
                <c:pt idx="2">
                  <c:v>남도바다수산</c:v>
                </c:pt>
                <c:pt idx="3">
                  <c:v>초록들녘농산</c:v>
                </c:pt>
                <c:pt idx="4">
                  <c:v>해피푸드유통</c:v>
                </c:pt>
                <c:pt idx="5">
                  <c:v>우리동네직판장</c:v>
                </c:pt>
                <c:pt idx="6">
                  <c:v>자체직영(소비자)</c:v>
                </c:pt>
                <c:pt idx="7">
                  <c:v>바른먹거리장터</c:v>
                </c:pt>
              </c:strCache>
            </c:strRef>
          </c:cat>
          <c:val>
            <c:numRef>
              <c:f>'4_거래처_채널별_손익분석'!$O$8:$O$15</c:f>
              <c:numCache>
                <c:formatCode>#,##0</c:formatCode>
                <c:ptCount val="8"/>
                <c:pt idx="0">
                  <c:v>891228</c:v>
                </c:pt>
                <c:pt idx="1">
                  <c:v>719562</c:v>
                </c:pt>
                <c:pt idx="2">
                  <c:v>525427</c:v>
                </c:pt>
                <c:pt idx="3">
                  <c:v>311469</c:v>
                </c:pt>
                <c:pt idx="4">
                  <c:v>299574</c:v>
                </c:pt>
                <c:pt idx="5">
                  <c:v>264631</c:v>
                </c:pt>
                <c:pt idx="6">
                  <c:v>223144</c:v>
                </c:pt>
                <c:pt idx="7">
                  <c:v>-118254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15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crossAx val="101"/>
        <c:crosses val="autoZero"/>
        <c:crossBetween val="between"/>
      </c:valAx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CBD5E1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>
                <a:solidFill>
                  <a:srgbClr val="1E293B"/>
                </a:solidFill>
              </a:defRPr>
            </a:pPr>
            <a:r>
              <a:rPr lang="ko-KR" sz="1100" b="1"/>
              <a:t>판매채널별 매출액 및 순이익 비교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'4_거래처_채널별_손익분석'!$E$19</c:f>
              <c:strCache>
                <c:ptCount val="1"/>
                <c:pt idx="0">
                  <c:v>매출액 (원)</c:v>
                </c:pt>
              </c:strCache>
            </c:strRef>
          </c:tx>
          <c:spPr>
            <a:solidFill>
              <a:srgbClr val="3B82F6"/>
            </a:solidFill>
          </c:spPr>
          <c:invertIfNegative val="0"/>
          <c:cat>
            <c:strRef>
              <c:f>'4_거래처_채널별_손익분석'!$C$20:$C$26</c:f>
              <c:strCache>
                <c:ptCount val="7"/>
                <c:pt idx="0">
                  <c:v>농라</c:v>
                </c:pt>
                <c:pt idx="1">
                  <c:v>고흥몰</c:v>
                </c:pt>
                <c:pt idx="2">
                  <c:v>카톡</c:v>
                </c:pt>
                <c:pt idx="3">
                  <c:v>스마트스토어</c:v>
                </c:pt>
                <c:pt idx="4">
                  <c:v>남도장터</c:v>
                </c:pt>
                <c:pt idx="5">
                  <c:v>로컬푸드</c:v>
                </c:pt>
                <c:pt idx="6">
                  <c:v>기타</c:v>
                </c:pt>
              </c:strCache>
            </c:strRef>
          </c:cat>
          <c:val>
            <c:numRef>
              <c:f>'4_거래처_채널별_손익분석'!$E$20:$E$26</c:f>
              <c:numCache>
                <c:formatCode>#,##0</c:formatCode>
                <c:ptCount val="7"/>
                <c:pt idx="0">
                  <c:v>2600000</c:v>
                </c:pt>
                <c:pt idx="1">
                  <c:v>2475000</c:v>
                </c:pt>
                <c:pt idx="2">
                  <c:v>2040000</c:v>
                </c:pt>
                <c:pt idx="3">
                  <c:v>2050000</c:v>
                </c:pt>
                <c:pt idx="4">
                  <c:v>1260000</c:v>
                </c:pt>
                <c:pt idx="5">
                  <c:v>1080000</c:v>
                </c:pt>
                <c:pt idx="6">
                  <c:v>675000</c:v>
                </c:pt>
              </c:numCache>
            </c:numRef>
          </c:val>
        </c:ser>
        <c:ser>
          <c:idx val="1"/>
          <c:order val="1"/>
          <c:tx>
            <c:strRef>
              <c:f>'4_거래처_채널별_손익분석'!$L$19</c:f>
              <c:strCache>
                <c:ptCount val="1"/>
                <c:pt idx="0">
                  <c:v>순이익(공통비 전)</c:v>
                </c:pt>
              </c:strCache>
            </c:strRef>
          </c:tx>
          <c:spPr>
            <a:solidFill>
              <a:srgbClr val="10B981"/>
            </a:solidFill>
          </c:spPr>
          <c:invertIfNegative val="0"/>
          <c:cat>
            <c:strRef>
              <c:f>'4_거래처_채널별_손익분석'!$C$20:$C$26</c:f>
              <c:strCache>
                <c:ptCount val="7"/>
                <c:pt idx="0">
                  <c:v>농라</c:v>
                </c:pt>
                <c:pt idx="1">
                  <c:v>고흥몰</c:v>
                </c:pt>
                <c:pt idx="2">
                  <c:v>카톡</c:v>
                </c:pt>
                <c:pt idx="3">
                  <c:v>스마트스토어</c:v>
                </c:pt>
                <c:pt idx="4">
                  <c:v>남도장터</c:v>
                </c:pt>
                <c:pt idx="5">
                  <c:v>로컬푸드</c:v>
                </c:pt>
                <c:pt idx="6">
                  <c:v>기타</c:v>
                </c:pt>
              </c:strCache>
            </c:strRef>
          </c:cat>
          <c:val>
            <c:numRef>
              <c:f>'4_거래처_채널별_손익분석'!$L$20:$L$26</c:f>
              <c:numCache>
                <c:formatCode>#,##0</c:formatCode>
                <c:ptCount val="7"/>
                <c:pt idx="0">
                  <c:v>915000</c:v>
                </c:pt>
                <c:pt idx="1">
                  <c:v>877000</c:v>
                </c:pt>
                <c:pt idx="2">
                  <c:v>721180</c:v>
                </c:pt>
                <c:pt idx="3">
                  <c:v>443950</c:v>
                </c:pt>
                <c:pt idx="4">
                  <c:v>399400</c:v>
                </c:pt>
                <c:pt idx="5">
                  <c:v>340000</c:v>
                </c:pt>
                <c:pt idx="6">
                  <c:v>270250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15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crossAx val="101"/>
        <c:crosses val="autoZero"/>
        <c:crossBetween val="between"/>
      </c:valAx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CBD5E1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</Relationships>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4.xml"/>
  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10</xdr:row>
      <xdr:rowOff>47625</xdr:rowOff>
    </xdr:from>
    <xdr:to>
      <xdr:col>5</xdr:col>
      <xdr:colOff>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95250</xdr:colOff>
      <xdr:row>10</xdr:row>
      <xdr:rowOff>47625</xdr:rowOff>
    </xdr:from>
    <xdr:to>
      <xdr:col>10</xdr:col>
      <xdr:colOff>0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95250</xdr:colOff>
      <xdr:row>10</xdr:row>
      <xdr:rowOff>47625</xdr:rowOff>
    </xdr:from>
    <xdr:to>
      <xdr:col>15</xdr:col>
      <xdr:colOff>0</xdr:colOff>
      <xdr:row>27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30</xdr:row>
      <xdr:rowOff>47625</xdr:rowOff>
    </xdr:from>
    <xdr:to>
      <xdr:col>8</xdr:col>
      <xdr:colOff>0</xdr:colOff>
      <xdr:row>46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30</xdr:row>
      <xdr:rowOff>47625</xdr:rowOff>
    </xdr:from>
    <xdr:to>
      <xdr:col>16</xdr:col>
      <xdr:colOff>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_rels/sheet4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4" topLeftCell="A5" activePane="bottomLeft" state="frozen"/>
    </sheetView>
  </sheetViews>
  <sheetFormatPr defaultRowHeight="20"/>
  <cols>
    <col min="1" max="1" width="3" customWidth="1"/>
    <col min="2" max="15" width="15" customWidth="1"/>
  </cols>
  <sheetData>
    <row r="2" ht="30" customHeight="1">
      <c r="B2" s="1" t="inlineStr">
        <is>
          <t>📊 거래처별·채널별 매출 및 손익 종합 대시보드</t>
        </is>
      </c>
      <c r="I2" s="22" t="inlineStr">
        <is>
          <t>💡 노란색 셀(조회 연·월 또는 직접입력 시작·종료일)을 변경하면 모든 실적과 그래프가 즉시 갱신됩니다.</t>
        </is>
      </c>
    </row>
    <row r="3" ht="22" customHeight="1">
      <c r="B3" s="3" t="inlineStr">
        <is>
          <t>조회 연도(선택)</t>
        </is>
      </c>
      <c r="C3" s="3" t="inlineStr">
        <is>
          <t>조회 월(1~12/전체)</t>
        </is>
      </c>
      <c r="D3" s="3" t="inlineStr">
        <is>
          <t>직접 시작일(선택)</t>
        </is>
      </c>
      <c r="E3" s="3" t="inlineStr">
        <is>
          <t>직접 종료일(선택)</t>
        </is>
      </c>
      <c r="F3" s="4" t="inlineStr">
        <is>
          <t>적용 시작일(자동)</t>
        </is>
      </c>
      <c r="G3" s="4" t="inlineStr">
        <is>
          <t>적용 종료일(자동)</t>
        </is>
      </c>
      <c r="H3" s="4" t="inlineStr">
        <is>
          <t>비용설정 누락건수</t>
        </is>
      </c>
      <c r="I3" s="4" t="inlineStr">
        <is>
          <t>기간설정 중복건수</t>
        </is>
      </c>
      <c r="J3" s="4" t="inlineStr">
        <is>
          <t>데이터/설정 종합 점검 상태</t>
        </is>
      </c>
      <c r="K3" s="4"/>
      <c r="L3" s="4"/>
      <c r="M3" s="4"/>
      <c r="N3" s="4"/>
      <c r="O3" s="4"/>
    </row>
    <row r="4" ht="26" customHeight="1">
      <c r="B4" s="5">
        <v>2026</v>
      </c>
      <c r="C4" s="5">
        <v>4</v>
      </c>
      <c r="D4" s="7"/>
      <c r="E4" s="7"/>
      <c r="F4" s="11">
        <f>IF(D4&lt;&gt;"",D4,IF(C4="전체",DATE(B4,1,1),DATE(B4,C4,1)))</f>
        <v>46113</v>
      </c>
      <c r="G4" s="11">
        <f>IF(E4&lt;&gt;"",E4,IF(C4="전체",DATE(B4,12,31),EOMONTH(DATE(B4,C4,1),0)))</f>
        <v>46142</v>
      </c>
      <c r="H4" s="12">
        <f>COUNTIF('2_일일매출_입력'!$J$6:$J$505,"비용 설정 필요")</f>
        <v>0</v>
      </c>
      <c r="I4" s="12">
        <f>COUNTIF('3_채널별_비용설정'!$K$6:$K$55,"*중복*")+COUNTIF('3_채널별_비용설정'!$K$6:$K$55,"*오류*")</f>
        <v>0</v>
      </c>
      <c r="J4" s="27" t="str">
        <f>IF(H4+I4=0,"✅ 모든 채널 비용 설정 및 기간 적용 정상","⚠️ 비용 설정 누락(" &amp; H4 &amp; "건) 또는 기간 중복(" &amp; I4 &amp; "건) 점검 필요!")</f>
        <v>✅ 모든 채널 비용 설정 및 기간 적용 정상</v>
      </c>
      <c r="K4" s="27"/>
      <c r="L4" s="27"/>
      <c r="M4" s="27"/>
      <c r="N4" s="27"/>
      <c r="O4" s="27"/>
    </row>
    <row r="6" ht="20" customHeight="1">
      <c r="B6" s="19" t="inlineStr">
        <is>
          <t>🎯 목표매출 (원)</t>
        </is>
      </c>
      <c r="C6" s="19"/>
      <c r="D6" s="19" t="inlineStr">
        <is>
          <t>💰 실제매출 (원)</t>
        </is>
      </c>
      <c r="E6" s="19"/>
      <c r="F6" s="19" t="inlineStr">
        <is>
          <t>📈 목표 달성률 (%)</t>
        </is>
      </c>
      <c r="G6" s="19"/>
      <c r="H6" s="19" t="inlineStr">
        <is>
          <t>📦 총 주문건수 (건)</t>
        </is>
      </c>
      <c r="I6" s="19"/>
      <c r="J6" s="19" t="inlineStr">
        <is>
          <t>🧾 총비용 (공통비 제외)</t>
        </is>
      </c>
      <c r="K6" s="19"/>
      <c r="L6" s="19" t="inlineStr">
        <is>
          <t>💎 순이익 (공통비 반영 전)</t>
        </is>
      </c>
      <c r="M6" s="19"/>
      <c r="N6" s="19" t="inlineStr">
        <is>
          <t>📊 순이익률 (공통비 전)</t>
        </is>
      </c>
      <c r="O6" s="19"/>
    </row>
    <row r="7" ht="32" customHeight="1">
      <c r="B7" s="20">
        <f>'5_목표매출_및_공통비용'!G19</f>
        <v>11000000</v>
      </c>
      <c r="C7" s="20"/>
      <c r="D7" s="20">
        <f>SUMIFS('2_일일매출_입력'!$F$6:$F$505,'2_일일매출_입력'!$B$6:$B$505,"&gt;="&amp;$F$4,'2_일일매출_입력'!$B$6:$B$505,"&lt;="&amp;$G$4)</f>
        <v>12180000</v>
      </c>
      <c r="E7" s="20"/>
      <c r="F7" s="21">
        <f>IFERROR(D7/B7,0)</f>
        <v>1.1072727272727272</v>
      </c>
      <c r="G7" s="21"/>
      <c r="H7" s="20">
        <f>SUMIFS('2_일일매출_입력'!$E$6:$E$505,'2_일일매출_입력'!$B$6:$B$505,"&gt;="&amp;$F$4,'2_일일매출_입력'!$B$6:$B$505,"&lt;="&amp;$G$4)</f>
        <v>318</v>
      </c>
      <c r="I7" s="20"/>
      <c r="J7" s="20">
        <f>SUMIFS('2_일일매출_입력'!$O$6:$O$505,'2_일일매출_입력'!$B$6:$B$505,"&gt;="&amp;$F$4,'2_일일매출_입력'!$B$6:$B$505,"&lt;="&amp;$G$4)</f>
        <v>8213220</v>
      </c>
      <c r="K7" s="20"/>
      <c r="L7" s="20">
        <f>D7-J7</f>
        <v>3966780</v>
      </c>
      <c r="M7" s="20"/>
      <c r="N7" s="21">
        <f>IFERROR(L7/D7,0)</f>
        <v>0.325679802955665</v>
      </c>
      <c r="O7" s="21"/>
    </row>
    <row r="8" ht="20" customHeight="1">
      <c r="B8" s="19" t="inlineStr">
        <is>
          <t>상품 총원가 (원)</t>
        </is>
      </c>
      <c r="C8" s="19"/>
      <c r="D8" s="19" t="inlineStr">
        <is>
          <t>매출액 기준 수수료 (원)</t>
        </is>
      </c>
      <c r="E8" s="19"/>
      <c r="F8" s="19" t="inlineStr">
        <is>
          <t>주문건수 비례 비용 (원)</t>
        </is>
      </c>
      <c r="G8" s="19"/>
      <c r="H8" s="19" t="inlineStr">
        <is>
          <t>추가 비용 합계 (원)</t>
        </is>
      </c>
      <c r="I8" s="19"/>
      <c r="J8" s="19" t="inlineStr">
        <is>
          <t>🏢 기간 공통비용 (광고/임대 등)</t>
        </is>
      </c>
      <c r="K8" s="19"/>
      <c r="L8" s="19" t="inlineStr">
        <is>
          <t>🏆 최종 순이익 (공통비 차감 후)</t>
        </is>
      </c>
      <c r="M8" s="19"/>
      <c r="N8" s="19" t="inlineStr">
        <is>
          <t>🏆 최종 순이익률 (공통비 후)</t>
        </is>
      </c>
      <c r="O8" s="19"/>
    </row>
    <row r="9" ht="28" customHeight="1">
      <c r="B9" s="12">
        <f>SUMIFS('2_일일매출_입력'!$G$6:$G$505,'2_일일매출_입력'!$B$6:$B$505,"&gt;="&amp;$F$4,'2_일일매출_입력'!$B$6:$B$505,"&lt;="&amp;$G$4)</f>
        <v>6530000</v>
      </c>
      <c r="C9" s="12"/>
      <c r="D9" s="12">
        <f>SUMIFS('2_일일매출_입력'!$L$6:$L$505,'2_일일매출_입력'!$B$6:$B$505,"&gt;="&amp;$F$4,'2_일일매출_입력'!$B$6:$B$505,"&lt;="&amp;$G$4)</f>
        <v>474070</v>
      </c>
      <c r="E9" s="12"/>
      <c r="F9" s="12">
        <f>SUMIFS('2_일일매출_입력'!$N$6:$N$505,'2_일일매출_입력'!$B$6:$B$505,"&gt;="&amp;$F$4,'2_일일매출_입력'!$B$6:$B$505,"&lt;="&amp;$G$4)</f>
        <v>1172150</v>
      </c>
      <c r="G9" s="12"/>
      <c r="H9" s="12">
        <f>SUMIFS('2_일일매출_입력'!$H$6:$H$505,'2_일일매출_입력'!$B$6:$B$505,"&gt;="&amp;$F$4,'2_일일매출_입력'!$B$6:$B$505,"&lt;="&amp;$G$4)</f>
        <v>37000</v>
      </c>
      <c r="I9" s="12"/>
      <c r="J9" s="12">
        <f>'5_목표매출_및_공통비용'!M26</f>
        <v>850000</v>
      </c>
      <c r="K9" s="12"/>
      <c r="L9" s="13">
        <f>L7-J9</f>
        <v>3116780</v>
      </c>
      <c r="M9" s="13"/>
      <c r="N9" s="14">
        <f>IFERROR(L9/D7,0)</f>
        <v>0.25589326765188836</v>
      </c>
      <c r="O9" s="14"/>
    </row>
    <row r="10">
      <c r="B10" s="2" t="inlineStr">
        <is>
          <t>📈 핵심 성과 시각화 차트 (일일 매출 입력/수정 시 자동 갱신)</t>
        </is>
      </c>
    </row>
    <row r="29" ht="24" customHeight="1">
      <c r="B29" s="2" t="inlineStr">
        <is>
          <t>📅 월별 매출·비용·순이익 추이 요약 (조회 연도 기준)</t>
        </is>
      </c>
      <c r="J29" s="2" t="inlineStr">
        <is>
          <t>🛒 판매채널별 매출 비중 및 손익 요약 (조회 기간 기준)</t>
        </is>
      </c>
    </row>
    <row r="30" ht="24" customHeight="1">
      <c r="B30" s="4" t="inlineStr">
        <is>
          <t>월</t>
        </is>
      </c>
      <c r="C30" s="4" t="inlineStr">
        <is>
          <t>목표매출</t>
        </is>
      </c>
      <c r="D30" s="4" t="inlineStr">
        <is>
          <t>실제매출</t>
        </is>
      </c>
      <c r="E30" s="4" t="inlineStr">
        <is>
          <t>총비용(변동)</t>
        </is>
      </c>
      <c r="F30" s="4" t="inlineStr">
        <is>
          <t>순이익(공통비전)</t>
        </is>
      </c>
      <c r="G30" s="4" t="inlineStr">
        <is>
          <t>순이익률</t>
        </is>
      </c>
      <c r="H30" s="4" t="inlineStr">
        <is>
          <t>주문건수</t>
        </is>
      </c>
      <c r="J30" s="4" t="inlineStr">
        <is>
          <t>판매채널</t>
        </is>
      </c>
      <c r="K30" s="4" t="inlineStr">
        <is>
          <t>주문건수</t>
        </is>
      </c>
      <c r="L30" s="4" t="inlineStr">
        <is>
          <t>매출액 (원)</t>
        </is>
      </c>
      <c r="M30" s="4" t="inlineStr">
        <is>
          <t>매출 비중 (%)</t>
        </is>
      </c>
      <c r="N30" s="4" t="inlineStr">
        <is>
          <t>순이익 (원)</t>
        </is>
      </c>
      <c r="O30" s="4" t="inlineStr">
        <is>
          <t>순이익률 (%)</t>
        </is>
      </c>
    </row>
    <row r="31">
      <c r="B31" s="23" t="inlineStr">
        <is>
          <t>1월</t>
        </is>
      </c>
      <c r="C31" s="25">
        <f>'5_목표매출_및_공통비용'!E7</f>
        <v>5000000</v>
      </c>
      <c r="D31" s="25">
        <f>SUMIFS('2_일일매출_입력'!$F$6:$F$505,'2_일일매출_입력'!$B$6:$B$505,"&gt;="&amp;DATE($B$4,1,1),'2_일일매출_입력'!$B$6:$B$505,"&lt;="&amp;EOMONTH(DATE($B$4,1,1),0))</f>
        <v>5385000</v>
      </c>
      <c r="E31" s="25">
        <f>SUMIFS('2_일일매출_입력'!$O$6:$O$505,'2_일일매출_입력'!$B$6:$B$505,"&gt;="&amp;DATE($B$4,1,1),'2_일일매출_입력'!$B$6:$B$505,"&lt;="&amp;EOMONTH(DATE($B$4,1,1),0))</f>
        <v>3631125</v>
      </c>
      <c r="F31" s="12">
        <f>D31-E31</f>
        <v>1753875</v>
      </c>
      <c r="G31" s="26">
        <f>IFERROR(F31/D31,0)</f>
        <v>0.32569637883008357</v>
      </c>
      <c r="H31" s="25">
        <f>SUMIFS('2_일일매출_입력'!$E$6:$E$505,'2_일일매출_입력'!$B$6:$B$505,"&gt;="&amp;DATE($B$4,1,1),'2_일일매출_입력'!$B$6:$B$505,"&lt;="&amp;EOMONTH(DATE($B$4,1,1),0))</f>
        <v>150</v>
      </c>
      <c r="J31" s="23" t="str">
        <f>'6_사용설명서_및_기준관리'!B6</f>
        <v>농라</v>
      </c>
      <c r="K31" s="25">
        <f>SUMIFS('2_일일매출_입력'!$E$6:$E$505,'2_일일매출_입력'!$D$6:$D$505,J31,'2_일일매출_입력'!$B$6:$B$505,"&gt;="&amp;$F$4,'2_일일매출_입력'!$B$6:$B$505,"&lt;="&amp;$G$4)</f>
        <v>50</v>
      </c>
      <c r="L31" s="25">
        <f>SUMIFS('2_일일매출_입력'!$F$6:$F$505,'2_일일매출_입력'!$D$6:$D$505,J31,'2_일일매출_입력'!$B$6:$B$505,"&gt;="&amp;$F$4,'2_일일매출_입력'!$B$6:$B$505,"&lt;="&amp;$G$4)</f>
        <v>2600000</v>
      </c>
      <c r="M31" s="14">
        <f>IFERROR(L31/$L$38,0)</f>
        <v>0.2134646962233169</v>
      </c>
      <c r="N31" s="12">
        <f>SUMIFS('2_일일매출_입력'!$P$6:$P$505,'2_일일매출_입력'!$D$6:$D$505,J31,'2_일일매출_입력'!$B$6:$B$505,"&gt;="&amp;$F$4,'2_일일매출_입력'!$B$6:$B$505,"&lt;="&amp;$G$4)</f>
        <v>915000</v>
      </c>
      <c r="O31" s="26">
        <f>IFERROR(N31/L31,0)</f>
        <v>0.35192307692307695</v>
      </c>
    </row>
    <row r="32">
      <c r="B32" s="23" t="inlineStr">
        <is>
          <t>2월</t>
        </is>
      </c>
      <c r="C32" s="25">
        <f>'5_목표매출_및_공통비용'!E8</f>
        <v>4500000</v>
      </c>
      <c r="D32" s="25">
        <f>SUMIFS('2_일일매출_입력'!$F$6:$F$505,'2_일일매출_입력'!$B$6:$B$505,"&gt;="&amp;DATE($B$4,2,1),'2_일일매출_입력'!$B$6:$B$505,"&lt;="&amp;EOMONTH(DATE($B$4,2,1),0))</f>
        <v>4400000</v>
      </c>
      <c r="E32" s="25">
        <f>SUMIFS('2_일일매출_입력'!$O$6:$O$505,'2_일일매출_입력'!$B$6:$B$505,"&gt;="&amp;DATE($B$4,2,1),'2_일일매출_입력'!$B$6:$B$505,"&lt;="&amp;EOMONTH(DATE($B$4,2,1),0))</f>
        <v>2927780</v>
      </c>
      <c r="F32" s="12">
        <f>D32-E32</f>
        <v>1472220</v>
      </c>
      <c r="G32" s="26">
        <f>IFERROR(F32/D32,0)</f>
        <v>0.33459545454545453</v>
      </c>
      <c r="H32" s="25">
        <f>SUMIFS('2_일일매출_입력'!$E$6:$E$505,'2_일일매출_입력'!$B$6:$B$505,"&gt;="&amp;DATE($B$4,2,1),'2_일일매출_입력'!$B$6:$B$505,"&lt;="&amp;EOMONTH(DATE($B$4,2,1),0))</f>
        <v>103</v>
      </c>
      <c r="J32" s="23" t="str">
        <f>'6_사용설명서_및_기준관리'!B7</f>
        <v>스마트스토어</v>
      </c>
      <c r="K32" s="25">
        <f>SUMIFS('2_일일매출_입력'!$E$6:$E$505,'2_일일매출_입력'!$D$6:$D$505,J32,'2_일일매출_입력'!$B$6:$B$505,"&gt;="&amp;$F$4,'2_일일매출_입력'!$B$6:$B$505,"&lt;="&amp;$G$4)</f>
        <v>65</v>
      </c>
      <c r="L32" s="25">
        <f>SUMIFS('2_일일매출_입력'!$F$6:$F$505,'2_일일매출_입력'!$D$6:$D$505,J32,'2_일일매출_입력'!$B$6:$B$505,"&gt;="&amp;$F$4,'2_일일매출_입력'!$B$6:$B$505,"&lt;="&amp;$G$4)</f>
        <v>2050000</v>
      </c>
      <c r="M32" s="14">
        <f>IFERROR(L32/$L$38,0)</f>
        <v>0.1683087027914614</v>
      </c>
      <c r="N32" s="12">
        <f>SUMIFS('2_일일매출_입력'!$P$6:$P$505,'2_일일매출_입력'!$D$6:$D$505,J32,'2_일일매출_입력'!$B$6:$B$505,"&gt;="&amp;$F$4,'2_일일매출_입력'!$B$6:$B$505,"&lt;="&amp;$G$4)</f>
        <v>443950</v>
      </c>
      <c r="O32" s="26">
        <f>IFERROR(N32/L32,0)</f>
        <v>0.2165609756097561</v>
      </c>
    </row>
    <row r="33">
      <c r="B33" s="23" t="inlineStr">
        <is>
          <t>3월</t>
        </is>
      </c>
      <c r="C33" s="25">
        <f>'5_목표매출_및_공통비용'!E9</f>
        <v>5000000</v>
      </c>
      <c r="D33" s="25">
        <f>SUMIFS('2_일일매출_입력'!$F$6:$F$505,'2_일일매출_입력'!$B$6:$B$505,"&gt;="&amp;DATE($B$4,3,1),'2_일일매출_입력'!$B$6:$B$505,"&lt;="&amp;EOMONTH(DATE($B$4,3,1),0))</f>
        <v>5210000</v>
      </c>
      <c r="E33" s="25">
        <f>SUMIFS('2_일일매출_입력'!$O$6:$O$505,'2_일일매출_입력'!$B$6:$B$505,"&gt;="&amp;DATE($B$4,3,1),'2_일일매출_입력'!$B$6:$B$505,"&lt;="&amp;EOMONTH(DATE($B$4,3,1),0))</f>
        <v>3578830</v>
      </c>
      <c r="F33" s="12">
        <f>D33-E33</f>
        <v>1631170</v>
      </c>
      <c r="G33" s="26">
        <f>IFERROR(F33/D33,0)</f>
        <v>0.313084452975048</v>
      </c>
      <c r="H33" s="25">
        <f>SUMIFS('2_일일매출_입력'!$E$6:$E$505,'2_일일매출_입력'!$B$6:$B$505,"&gt;="&amp;DATE($B$4,3,1),'2_일일매출_입력'!$B$6:$B$505,"&lt;="&amp;EOMONTH(DATE($B$4,3,1),0))</f>
        <v>116</v>
      </c>
      <c r="J33" s="23" t="str">
        <f>'6_사용설명서_및_기준관리'!B8</f>
        <v>카톡</v>
      </c>
      <c r="K33" s="25">
        <f>SUMIFS('2_일일매출_입력'!$E$6:$E$505,'2_일일매출_입력'!$D$6:$D$505,J33,'2_일일매출_입력'!$B$6:$B$505,"&gt;="&amp;$F$4,'2_일일매출_입력'!$B$6:$B$505,"&lt;="&amp;$G$4)</f>
        <v>47</v>
      </c>
      <c r="L33" s="25">
        <f>SUMIFS('2_일일매출_입력'!$F$6:$F$505,'2_일일매출_입력'!$D$6:$D$505,J33,'2_일일매출_입력'!$B$6:$B$505,"&gt;="&amp;$F$4,'2_일일매출_입력'!$B$6:$B$505,"&lt;="&amp;$G$4)</f>
        <v>2040000</v>
      </c>
      <c r="M33" s="14">
        <f>IFERROR(L33/$L$38,0)</f>
        <v>0.16748768472906403</v>
      </c>
      <c r="N33" s="12">
        <f>SUMIFS('2_일일매출_입력'!$P$6:$P$505,'2_일일매출_입력'!$D$6:$D$505,J33,'2_일일매출_입력'!$B$6:$B$505,"&gt;="&amp;$F$4,'2_일일매출_입력'!$B$6:$B$505,"&lt;="&amp;$G$4)</f>
        <v>721180</v>
      </c>
      <c r="O33" s="26">
        <f>IFERROR(N33/L33,0)</f>
        <v>0.35351960784313724</v>
      </c>
    </row>
    <row r="34">
      <c r="B34" s="23" t="inlineStr">
        <is>
          <t>4월</t>
        </is>
      </c>
      <c r="C34" s="25">
        <f>'5_목표매출_및_공통비용'!E10</f>
        <v>11000000</v>
      </c>
      <c r="D34" s="25">
        <f>SUMIFS('2_일일매출_입력'!$F$6:$F$505,'2_일일매출_입력'!$B$6:$B$505,"&gt;="&amp;DATE($B$4,4,1),'2_일일매출_입력'!$B$6:$B$505,"&lt;="&amp;EOMONTH(DATE($B$4,4,1),0))</f>
        <v>12180000</v>
      </c>
      <c r="E34" s="25">
        <f>SUMIFS('2_일일매출_입력'!$O$6:$O$505,'2_일일매출_입력'!$B$6:$B$505,"&gt;="&amp;DATE($B$4,4,1),'2_일일매출_입력'!$B$6:$B$505,"&lt;="&amp;EOMONTH(DATE($B$4,4,1),0))</f>
        <v>8213220</v>
      </c>
      <c r="F34" s="12">
        <f>D34-E34</f>
        <v>3966780</v>
      </c>
      <c r="G34" s="26">
        <f>IFERROR(F34/D34,0)</f>
        <v>0.325679802955665</v>
      </c>
      <c r="H34" s="25">
        <f>SUMIFS('2_일일매출_입력'!$E$6:$E$505,'2_일일매출_입력'!$B$6:$B$505,"&gt;="&amp;DATE($B$4,4,1),'2_일일매출_입력'!$B$6:$B$505,"&lt;="&amp;EOMONTH(DATE($B$4,4,1),0))</f>
        <v>318</v>
      </c>
      <c r="J34" s="23" t="str">
        <f>'6_사용설명서_및_기준관리'!B9</f>
        <v>고흥몰</v>
      </c>
      <c r="K34" s="25">
        <f>SUMIFS('2_일일매출_입력'!$E$6:$E$505,'2_일일매출_입력'!$D$6:$D$505,J34,'2_일일매출_입력'!$B$6:$B$505,"&gt;="&amp;$F$4,'2_일일매출_입력'!$B$6:$B$505,"&lt;="&amp;$G$4)</f>
        <v>53</v>
      </c>
      <c r="L34" s="25">
        <f>SUMIFS('2_일일매출_입력'!$F$6:$F$505,'2_일일매출_입력'!$D$6:$D$505,J34,'2_일일매출_입력'!$B$6:$B$505,"&gt;="&amp;$F$4,'2_일일매출_입력'!$B$6:$B$505,"&lt;="&amp;$G$4)</f>
        <v>2475000</v>
      </c>
      <c r="M34" s="14">
        <f>IFERROR(L34/$L$38,0)</f>
        <v>0.20320197044334976</v>
      </c>
      <c r="N34" s="12">
        <f>SUMIFS('2_일일매출_입력'!$P$6:$P$505,'2_일일매출_입력'!$D$6:$D$505,J34,'2_일일매출_입력'!$B$6:$B$505,"&gt;="&amp;$F$4,'2_일일매출_입력'!$B$6:$B$505,"&lt;="&amp;$G$4)</f>
        <v>877000</v>
      </c>
      <c r="O34" s="26">
        <f>IFERROR(N34/L34,0)</f>
        <v>0.35434343434343435</v>
      </c>
    </row>
    <row r="35">
      <c r="B35" s="23" t="inlineStr">
        <is>
          <t>5월</t>
        </is>
      </c>
      <c r="C35" s="25">
        <f>'5_목표매출_및_공통비용'!E11</f>
        <v>12000000</v>
      </c>
      <c r="D35" s="25">
        <f>SUMIFS('2_일일매출_입력'!$F$6:$F$505,'2_일일매출_입력'!$B$6:$B$505,"&gt;="&amp;DATE($B$4,5,1),'2_일일매출_입력'!$B$6:$B$505,"&lt;="&amp;EOMONTH(DATE($B$4,5,1),0))</f>
        <v>0</v>
      </c>
      <c r="E35" s="25">
        <f>SUMIFS('2_일일매출_입력'!$O$6:$O$505,'2_일일매출_입력'!$B$6:$B$505,"&gt;="&amp;DATE($B$4,5,1),'2_일일매출_입력'!$B$6:$B$505,"&lt;="&amp;EOMONTH(DATE($B$4,5,1),0))</f>
        <v>0</v>
      </c>
      <c r="F35" s="12">
        <f>D35-E35</f>
        <v>0</v>
      </c>
      <c r="G35" s="26">
        <f>IFERROR(F35/D35,0)</f>
        <v>0</v>
      </c>
      <c r="H35" s="25">
        <f>SUMIFS('2_일일매출_입력'!$E$6:$E$505,'2_일일매출_입력'!$B$6:$B$505,"&gt;="&amp;DATE($B$4,5,1),'2_일일매출_입력'!$B$6:$B$505,"&lt;="&amp;EOMONTH(DATE($B$4,5,1),0))</f>
        <v>0</v>
      </c>
      <c r="J35" s="23" t="str">
        <f>'6_사용설명서_및_기준관리'!B10</f>
        <v>남도장터</v>
      </c>
      <c r="K35" s="25">
        <f>SUMIFS('2_일일매출_입력'!$E$6:$E$505,'2_일일매출_입력'!$D$6:$D$505,J35,'2_일일매출_입력'!$B$6:$B$505,"&gt;="&amp;$F$4,'2_일일매출_입력'!$B$6:$B$505,"&lt;="&amp;$G$4)</f>
        <v>28</v>
      </c>
      <c r="L35" s="25">
        <f>SUMIFS('2_일일매출_입력'!$F$6:$F$505,'2_일일매출_입력'!$D$6:$D$505,J35,'2_일일매출_입력'!$B$6:$B$505,"&gt;="&amp;$F$4,'2_일일매출_입력'!$B$6:$B$505,"&lt;="&amp;$G$4)</f>
        <v>1260000</v>
      </c>
      <c r="M35" s="14">
        <f>IFERROR(L35/$L$38,0)</f>
        <v>0.10344827586206896</v>
      </c>
      <c r="N35" s="12">
        <f>SUMIFS('2_일일매출_입력'!$P$6:$P$505,'2_일일매출_입력'!$D$6:$D$505,J35,'2_일일매출_입력'!$B$6:$B$505,"&gt;="&amp;$F$4,'2_일일매출_입력'!$B$6:$B$505,"&lt;="&amp;$G$4)</f>
        <v>399400</v>
      </c>
      <c r="O35" s="26">
        <f>IFERROR(N35/L35,0)</f>
        <v>0.316984126984127</v>
      </c>
    </row>
    <row r="36">
      <c r="B36" s="23" t="inlineStr">
        <is>
          <t>6월</t>
        </is>
      </c>
      <c r="C36" s="25">
        <f>'5_목표매출_및_공통비용'!E12</f>
        <v>10000000</v>
      </c>
      <c r="D36" s="25">
        <f>SUMIFS('2_일일매출_입력'!$F$6:$F$505,'2_일일매출_입력'!$B$6:$B$505,"&gt;="&amp;DATE($B$4,6,1),'2_일일매출_입력'!$B$6:$B$505,"&lt;="&amp;EOMONTH(DATE($B$4,6,1),0))</f>
        <v>0</v>
      </c>
      <c r="E36" s="25">
        <f>SUMIFS('2_일일매출_입력'!$O$6:$O$505,'2_일일매출_입력'!$B$6:$B$505,"&gt;="&amp;DATE($B$4,6,1),'2_일일매출_입력'!$B$6:$B$505,"&lt;="&amp;EOMONTH(DATE($B$4,6,1),0))</f>
        <v>0</v>
      </c>
      <c r="F36" s="12">
        <f>D36-E36</f>
        <v>0</v>
      </c>
      <c r="G36" s="26">
        <f>IFERROR(F36/D36,0)</f>
        <v>0</v>
      </c>
      <c r="H36" s="25">
        <f>SUMIFS('2_일일매출_입력'!$E$6:$E$505,'2_일일매출_입력'!$B$6:$B$505,"&gt;="&amp;DATE($B$4,6,1),'2_일일매출_입력'!$B$6:$B$505,"&lt;="&amp;EOMONTH(DATE($B$4,6,1),0))</f>
        <v>0</v>
      </c>
      <c r="J36" s="23" t="str">
        <f>'6_사용설명서_및_기준관리'!B11</f>
        <v>로컬푸드</v>
      </c>
      <c r="K36" s="25">
        <f>SUMIFS('2_일일매출_입력'!$E$6:$E$505,'2_일일매출_입력'!$D$6:$D$505,J36,'2_일일매출_입력'!$B$6:$B$505,"&gt;="&amp;$F$4,'2_일일매출_입력'!$B$6:$B$505,"&lt;="&amp;$G$4)</f>
        <v>60</v>
      </c>
      <c r="L36" s="25">
        <f>SUMIFS('2_일일매출_입력'!$F$6:$F$505,'2_일일매출_입력'!$D$6:$D$505,J36,'2_일일매출_입력'!$B$6:$B$505,"&gt;="&amp;$F$4,'2_일일매출_입력'!$B$6:$B$505,"&lt;="&amp;$G$4)</f>
        <v>1080000</v>
      </c>
      <c r="M36" s="14">
        <f>IFERROR(L36/$L$38,0)</f>
        <v>0.08866995073891626</v>
      </c>
      <c r="N36" s="12">
        <f>SUMIFS('2_일일매출_입력'!$P$6:$P$505,'2_일일매출_입력'!$D$6:$D$505,J36,'2_일일매출_입력'!$B$6:$B$505,"&gt;="&amp;$F$4,'2_일일매출_입력'!$B$6:$B$505,"&lt;="&amp;$G$4)</f>
        <v>340000</v>
      </c>
      <c r="O36" s="26">
        <f>IFERROR(N36/L36,0)</f>
        <v>0.3148148148148148</v>
      </c>
    </row>
    <row r="37">
      <c r="B37" s="23" t="inlineStr">
        <is>
          <t>7월</t>
        </is>
      </c>
      <c r="C37" s="25">
        <f>'5_목표매출_및_공통비용'!E13</f>
        <v>9000000</v>
      </c>
      <c r="D37" s="25">
        <f>SUMIFS('2_일일매출_입력'!$F$6:$F$505,'2_일일매출_입력'!$B$6:$B$505,"&gt;="&amp;DATE($B$4,7,1),'2_일일매출_입력'!$B$6:$B$505,"&lt;="&amp;EOMONTH(DATE($B$4,7,1),0))</f>
        <v>0</v>
      </c>
      <c r="E37" s="25">
        <f>SUMIFS('2_일일매출_입력'!$O$6:$O$505,'2_일일매출_입력'!$B$6:$B$505,"&gt;="&amp;DATE($B$4,7,1),'2_일일매출_입력'!$B$6:$B$505,"&lt;="&amp;EOMONTH(DATE($B$4,7,1),0))</f>
        <v>0</v>
      </c>
      <c r="F37" s="12">
        <f>D37-E37</f>
        <v>0</v>
      </c>
      <c r="G37" s="26">
        <f>IFERROR(F37/D37,0)</f>
        <v>0</v>
      </c>
      <c r="H37" s="25">
        <f>SUMIFS('2_일일매출_입력'!$E$6:$E$505,'2_일일매출_입력'!$B$6:$B$505,"&gt;="&amp;DATE($B$4,7,1),'2_일일매출_입력'!$B$6:$B$505,"&lt;="&amp;EOMONTH(DATE($B$4,7,1),0))</f>
        <v>0</v>
      </c>
      <c r="J37" s="23" t="str">
        <f>'6_사용설명서_및_기준관리'!B12</f>
        <v>기타</v>
      </c>
      <c r="K37" s="25">
        <f>SUMIFS('2_일일매출_입력'!$E$6:$E$505,'2_일일매출_입력'!$D$6:$D$505,J37,'2_일일매출_입력'!$B$6:$B$505,"&gt;="&amp;$F$4,'2_일일매출_입력'!$B$6:$B$505,"&lt;="&amp;$G$4)</f>
        <v>15</v>
      </c>
      <c r="L37" s="25">
        <f>SUMIFS('2_일일매출_입력'!$F$6:$F$505,'2_일일매출_입력'!$D$6:$D$505,J37,'2_일일매출_입력'!$B$6:$B$505,"&gt;="&amp;$F$4,'2_일일매출_입력'!$B$6:$B$505,"&lt;="&amp;$G$4)</f>
        <v>675000</v>
      </c>
      <c r="M37" s="14">
        <f>IFERROR(L37/$L$38,0)</f>
        <v>0.05541871921182266</v>
      </c>
      <c r="N37" s="12">
        <f>SUMIFS('2_일일매출_입력'!$P$6:$P$505,'2_일일매출_입력'!$D$6:$D$505,J37,'2_일일매출_입력'!$B$6:$B$505,"&gt;="&amp;$F$4,'2_일일매출_입력'!$B$6:$B$505,"&lt;="&amp;$G$4)</f>
        <v>270250</v>
      </c>
      <c r="O37" s="26">
        <f>IFERROR(N37/L37,0)</f>
        <v>0.4003703703703704</v>
      </c>
    </row>
    <row r="38">
      <c r="B38" s="23" t="inlineStr">
        <is>
          <t>8월</t>
        </is>
      </c>
      <c r="C38" s="25">
        <f>'5_목표매출_및_공통비용'!E14</f>
        <v>10000000</v>
      </c>
      <c r="D38" s="25">
        <f>SUMIFS('2_일일매출_입력'!$F$6:$F$505,'2_일일매출_입력'!$B$6:$B$505,"&gt;="&amp;DATE($B$4,8,1),'2_일일매출_입력'!$B$6:$B$505,"&lt;="&amp;EOMONTH(DATE($B$4,8,1),0))</f>
        <v>0</v>
      </c>
      <c r="E38" s="25">
        <f>SUMIFS('2_일일매출_입력'!$O$6:$O$505,'2_일일매출_입력'!$B$6:$B$505,"&gt;="&amp;DATE($B$4,8,1),'2_일일매출_입력'!$B$6:$B$505,"&lt;="&amp;EOMONTH(DATE($B$4,8,1),0))</f>
        <v>0</v>
      </c>
      <c r="F38" s="12">
        <f>D38-E38</f>
        <v>0</v>
      </c>
      <c r="G38" s="26">
        <f>IFERROR(F38/D38,0)</f>
        <v>0</v>
      </c>
      <c r="H38" s="25">
        <f>SUMIFS('2_일일매출_입력'!$E$6:$E$505,'2_일일매출_입력'!$B$6:$B$505,"&gt;="&amp;DATE($B$4,8,1),'2_일일매출_입력'!$B$6:$B$505,"&lt;="&amp;EOMONTH(DATE($B$4,8,1),0))</f>
        <v>0</v>
      </c>
      <c r="J38" s="16" t="inlineStr">
        <is>
          <t>합계</t>
        </is>
      </c>
      <c r="K38" s="17">
        <f>SUM(K31:K37)</f>
        <v>318</v>
      </c>
      <c r="L38" s="17">
        <f>SUM(L31:L37)</f>
        <v>12180000</v>
      </c>
      <c r="M38" s="18">
        <f>IFERROR(SUM(M31:M37),0)</f>
        <v>1</v>
      </c>
      <c r="N38" s="17">
        <f>SUM(N31:N37)</f>
        <v>3966780</v>
      </c>
      <c r="O38" s="18">
        <f>IFERROR(N38/L38,0)</f>
        <v>0.325679802955665</v>
      </c>
    </row>
    <row r="39">
      <c r="B39" s="23" t="inlineStr">
        <is>
          <t>9월</t>
        </is>
      </c>
      <c r="C39" s="25">
        <f>'5_목표매출_및_공통비용'!E15</f>
        <v>15000000</v>
      </c>
      <c r="D39" s="25">
        <f>SUMIFS('2_일일매출_입력'!$F$6:$F$505,'2_일일매출_입력'!$B$6:$B$505,"&gt;="&amp;DATE($B$4,9,1),'2_일일매출_입력'!$B$6:$B$505,"&lt;="&amp;EOMONTH(DATE($B$4,9,1),0))</f>
        <v>0</v>
      </c>
      <c r="E39" s="25">
        <f>SUMIFS('2_일일매출_입력'!$O$6:$O$505,'2_일일매출_입력'!$B$6:$B$505,"&gt;="&amp;DATE($B$4,9,1),'2_일일매출_입력'!$B$6:$B$505,"&lt;="&amp;EOMONTH(DATE($B$4,9,1),0))</f>
        <v>0</v>
      </c>
      <c r="F39" s="12">
        <f>D39-E39</f>
        <v>0</v>
      </c>
      <c r="G39" s="26">
        <f>IFERROR(F39/D39,0)</f>
        <v>0</v>
      </c>
      <c r="H39" s="25">
        <f>SUMIFS('2_일일매출_입력'!$E$6:$E$505,'2_일일매출_입력'!$B$6:$B$505,"&gt;="&amp;DATE($B$4,9,1),'2_일일매출_입력'!$B$6:$B$505,"&lt;="&amp;EOMONTH(DATE($B$4,9,1),0))</f>
        <v>0</v>
      </c>
    </row>
    <row r="40">
      <c r="B40" s="23" t="inlineStr">
        <is>
          <t>10월</t>
        </is>
      </c>
      <c r="C40" s="25">
        <f>'5_목표매출_및_공통비용'!E16</f>
        <v>11000000</v>
      </c>
      <c r="D40" s="25">
        <f>SUMIFS('2_일일매출_입력'!$F$6:$F$505,'2_일일매출_입력'!$B$6:$B$505,"&gt;="&amp;DATE($B$4,10,1),'2_일일매출_입력'!$B$6:$B$505,"&lt;="&amp;EOMONTH(DATE($B$4,10,1),0))</f>
        <v>0</v>
      </c>
      <c r="E40" s="25">
        <f>SUMIFS('2_일일매출_입력'!$O$6:$O$505,'2_일일매출_입력'!$B$6:$B$505,"&gt;="&amp;DATE($B$4,10,1),'2_일일매출_입력'!$B$6:$B$505,"&lt;="&amp;EOMONTH(DATE($B$4,10,1),0))</f>
        <v>0</v>
      </c>
      <c r="F40" s="12">
        <f>D40-E40</f>
        <v>0</v>
      </c>
      <c r="G40" s="26">
        <f>IFERROR(F40/D40,0)</f>
        <v>0</v>
      </c>
      <c r="H40" s="25">
        <f>SUMIFS('2_일일매출_입력'!$E$6:$E$505,'2_일일매출_입력'!$B$6:$B$505,"&gt;="&amp;DATE($B$4,10,1),'2_일일매출_입력'!$B$6:$B$505,"&lt;="&amp;EOMONTH(DATE($B$4,10,1),0))</f>
        <v>0</v>
      </c>
      <c r="J40" s="4" t="inlineStr">
        <is>
          <t>구분</t>
        </is>
      </c>
      <c r="K40" s="4" t="inlineStr">
        <is>
          <t>목표매출</t>
        </is>
      </c>
      <c r="L40" s="4" t="inlineStr">
        <is>
          <t>실제매출</t>
        </is>
      </c>
      <c r="M40" s="4" t="inlineStr">
        <is>
          <t>순이익(공통비전)</t>
        </is>
      </c>
      <c r="N40" s="4" t="inlineStr">
        <is>
          <t>최종순이익(공통비후)</t>
        </is>
      </c>
    </row>
    <row r="41">
      <c r="B41" s="23" t="inlineStr">
        <is>
          <t>11월</t>
        </is>
      </c>
      <c r="C41" s="25">
        <f>'5_목표매출_및_공통비용'!E17</f>
        <v>12000000</v>
      </c>
      <c r="D41" s="25">
        <f>SUMIFS('2_일일매출_입력'!$F$6:$F$505,'2_일일매출_입력'!$B$6:$B$505,"&gt;="&amp;DATE($B$4,11,1),'2_일일매출_입력'!$B$6:$B$505,"&lt;="&amp;EOMONTH(DATE($B$4,11,1),0))</f>
        <v>0</v>
      </c>
      <c r="E41" s="25">
        <f>SUMIFS('2_일일매출_입력'!$O$6:$O$505,'2_일일매출_입력'!$B$6:$B$505,"&gt;="&amp;DATE($B$4,11,1),'2_일일매출_입력'!$B$6:$B$505,"&lt;="&amp;EOMONTH(DATE($B$4,11,1),0))</f>
        <v>0</v>
      </c>
      <c r="F41" s="12">
        <f>D41-E41</f>
        <v>0</v>
      </c>
      <c r="G41" s="26">
        <f>IFERROR(F41/D41,0)</f>
        <v>0</v>
      </c>
      <c r="H41" s="25">
        <f>SUMIFS('2_일일매출_입력'!$E$6:$E$505,'2_일일매출_입력'!$B$6:$B$505,"&gt;="&amp;DATE($B$4,11,1),'2_일일매출_입력'!$B$6:$B$505,"&lt;="&amp;EOMONTH(DATE($B$4,11,1),0))</f>
        <v>0</v>
      </c>
      <c r="J41" s="23" t="inlineStr">
        <is>
          <t>선택기간 실적</t>
        </is>
      </c>
      <c r="K41" s="25">
        <f>B7</f>
        <v>11000000</v>
      </c>
      <c r="L41" s="25">
        <f>D7</f>
        <v>12180000</v>
      </c>
      <c r="M41" s="25">
        <f>L7</f>
        <v>3966780</v>
      </c>
      <c r="N41" s="25">
        <f>L9</f>
        <v>3116780</v>
      </c>
    </row>
    <row r="42">
      <c r="B42" s="23" t="inlineStr">
        <is>
          <t>12월</t>
        </is>
      </c>
      <c r="C42" s="25">
        <f>'5_목표매출_및_공통비용'!E18</f>
        <v>14000000</v>
      </c>
      <c r="D42" s="25">
        <f>SUMIFS('2_일일매출_입력'!$F$6:$F$505,'2_일일매출_입력'!$B$6:$B$505,"&gt;="&amp;DATE($B$4,12,1),'2_일일매출_입력'!$B$6:$B$505,"&lt;="&amp;EOMONTH(DATE($B$4,12,1),0))</f>
        <v>0</v>
      </c>
      <c r="E42" s="25">
        <f>SUMIFS('2_일일매출_입력'!$O$6:$O$505,'2_일일매출_입력'!$B$6:$B$505,"&gt;="&amp;DATE($B$4,12,1),'2_일일매출_입력'!$B$6:$B$505,"&lt;="&amp;EOMONTH(DATE($B$4,12,1),0))</f>
        <v>0</v>
      </c>
      <c r="F42" s="12">
        <f>D42-E42</f>
        <v>0</v>
      </c>
      <c r="G42" s="26">
        <f>IFERROR(F42/D42,0)</f>
        <v>0</v>
      </c>
      <c r="H42" s="25">
        <f>SUMIFS('2_일일매출_입력'!$E$6:$E$505,'2_일일매출_입력'!$B$6:$B$505,"&gt;="&amp;DATE($B$4,12,1),'2_일일매출_입력'!$B$6:$B$505,"&lt;="&amp;EOMONTH(DATE($B$4,12,1),0))</f>
        <v>0</v>
      </c>
    </row>
    <row r="43">
      <c r="B43" s="16" t="inlineStr">
        <is>
          <t>연간 합계</t>
        </is>
      </c>
      <c r="C43" s="17">
        <f>SUM(C31:C42)</f>
        <v>118500000</v>
      </c>
      <c r="D43" s="17">
        <f>SUM(D31:D42)</f>
        <v>27175000</v>
      </c>
      <c r="E43" s="17">
        <f>SUM(E31:E42)</f>
        <v>18350955</v>
      </c>
      <c r="F43" s="17">
        <f>D43-E43</f>
        <v>8824045</v>
      </c>
      <c r="G43" s="18">
        <f>IFERROR(F43/D43,0)</f>
        <v>0.324711867525299</v>
      </c>
      <c r="H43" s="17">
        <f>SUM(H31:H42)</f>
        <v>687</v>
      </c>
    </row>
  </sheetData>
  <mergeCells count="32">
    <mergeCell ref="B2:H2"/>
    <mergeCell ref="I2:O2"/>
    <mergeCell ref="J3:O3"/>
    <mergeCell ref="J4:O4"/>
    <mergeCell ref="B6:C6"/>
    <mergeCell ref="B7:C7"/>
    <mergeCell ref="D6:E6"/>
    <mergeCell ref="D7:E7"/>
    <mergeCell ref="F6:G6"/>
    <mergeCell ref="F7:G7"/>
    <mergeCell ref="H6:I6"/>
    <mergeCell ref="H7:I7"/>
    <mergeCell ref="J6:K6"/>
    <mergeCell ref="J7:K7"/>
    <mergeCell ref="L6:M6"/>
    <mergeCell ref="L7:M7"/>
    <mergeCell ref="N6:O6"/>
    <mergeCell ref="N7:O7"/>
    <mergeCell ref="B8:C8"/>
    <mergeCell ref="B9:C9"/>
    <mergeCell ref="D8:E8"/>
    <mergeCell ref="D9:E9"/>
    <mergeCell ref="F8:G8"/>
    <mergeCell ref="F9:G9"/>
    <mergeCell ref="H8:I8"/>
    <mergeCell ref="H9:I9"/>
    <mergeCell ref="J8:K8"/>
    <mergeCell ref="J9:K9"/>
    <mergeCell ref="L8:M8"/>
    <mergeCell ref="L9:M9"/>
    <mergeCell ref="N8:O8"/>
    <mergeCell ref="N9:O9"/>
  </mergeCells>
  <conditionalFormatting sqref="L7:L9 F31:F43 N31:N38">
    <cfRule type="cellIs" dxfId="0" priority="1" operator="lessThan">
      <formula>0</formula>
    </cfRule>
  </conditionalFormatting>
  <conditionalFormatting sqref="H4:I4">
    <cfRule type="cellIs" dxfId="1" priority="2" operator="greaterThan">
      <formula>0</formula>
    </cfRule>
  </conditionalFormatting>
  <dataValidations count="1">
    <dataValidation type="list" allowBlank="1" showInputMessage="1" promptTitle="조회 월 선택" prompt="1~12월을 선택하거나 연간 전체를 보려면 [전체]를 선택하세요." showErrorMessage="1" sqref="C4">
      <formula1>"전체,1,2,3,4,5,6,7,8,9,10,11,12"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5" topLeftCell="A6" activePane="bottomLeft" state="frozen"/>
    </sheetView>
  </sheetViews>
  <sheetFormatPr defaultRowHeight="20"/>
  <cols>
    <col min="1" max="1" width="3" customWidth="1"/>
    <col min="2" max="2" width="14" customWidth="1"/>
    <col min="3" max="3" width="18" customWidth="1"/>
    <col min="4" max="4" width="15" customWidth="1"/>
    <col min="5" max="5" width="11" customWidth="1"/>
    <col min="6" max="8" width="16" customWidth="1"/>
    <col min="9" max="9" width="34" customWidth="1"/>
    <col min="10" max="10" width="16" customWidth="1"/>
    <col min="11" max="11" width="14" customWidth="1"/>
    <col min="12" max="16" width="16" customWidth="1"/>
    <col min="17" max="17" width="13" customWidth="1"/>
  </cols>
  <sheetData>
    <row r="2" ht="28" customHeight="1">
      <c r="B2" s="1" t="inlineStr">
        <is>
          <t>📝 일일 매출 및 주문건수 입력 (날짜 × 거래처 × 판매채널별 일일 집계)</t>
        </is>
      </c>
    </row>
    <row r="3" ht="38" customHeight="1">
      <c r="B3" s="22" t="inlineStr">
        <is>
          <t>💡 [입력 안내] ① 노란색 열(B~I열)만 직접 입력하세요. 파란색 열(J~Q열)은 해당 날짜의 판매채널 비용 설정을 찾아 자동 계산됩니다.
② 일일 매출액은 할인 등을 반영한 실결제 금액으로 입력하세요(별도 할인 재차감 없음). 기본 배송비·포장비는 자동 계산되므로 [추가 비용]에 중복 입력하지 마세요.
③ 같은 날짜·채널에 거래처가 여러 곳이면 거래처별로 행을 나누어 입력하고, 주문건수와 매출액이 중복 집계되지 않도록 주의하세요.</t>
        </is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ht="24" customHeight="1">
      <c r="B4" s="16" t="inlineStr">
        <is>
          <t>전체 누적 합계</t>
        </is>
      </c>
      <c r="C4" s="16" t="str">
        <f>COUNTA(B6:B505)&amp;"건 입력됨"</f>
        <v>24건 입력됨</v>
      </c>
      <c r="D4" s="16" t="inlineStr">
        <is>
          <t>-</t>
        </is>
      </c>
      <c r="E4" s="17">
        <f>SUM(E6:E505)</f>
        <v>687</v>
      </c>
      <c r="F4" s="17">
        <f>SUM(F6:F505)</f>
        <v>27175000</v>
      </c>
      <c r="G4" s="17">
        <f>SUM(G6:G505)</f>
        <v>14680000</v>
      </c>
      <c r="H4" s="17">
        <f>SUM(H6:H505)</f>
        <v>58000</v>
      </c>
      <c r="I4" s="16" t="inlineStr">
        <is>
          <t>← 직접 입력 (연노랑) | 자동 계산 (연파랑) →</t>
        </is>
      </c>
      <c r="J4" s="16" t="str">
        <f>COUNTIF(J6:J505,"비용 설정 필요")&amp;"건 누락"</f>
        <v>0건 누락</v>
      </c>
      <c r="K4" s="16" t="inlineStr">
        <is>
          <t>-</t>
        </is>
      </c>
      <c r="L4" s="17">
        <f>SUMIF(L6:L505,"&gt;=0")</f>
        <v>1069355</v>
      </c>
      <c r="M4" s="16" t="inlineStr">
        <is>
          <t>-</t>
        </is>
      </c>
      <c r="N4" s="17">
        <f>SUMIF(N6:N505,"&gt;=0")</f>
        <v>2543600</v>
      </c>
      <c r="O4" s="17">
        <f>SUMIF(O6:O505,"&gt;=0")</f>
        <v>18350955</v>
      </c>
      <c r="P4" s="17">
        <f>F4-O4</f>
        <v>8824045</v>
      </c>
      <c r="Q4" s="18">
        <f>IFERROR(P4/F4,0)</f>
        <v>0.324711867525299</v>
      </c>
    </row>
    <row r="5" ht="28" customHeight="1">
      <c r="B5" s="3" t="inlineStr">
        <is>
          <t>매출일자
(필수입력)</t>
        </is>
      </c>
      <c r="C5" s="3" t="inlineStr">
        <is>
          <t>거래처
(드롭다운)</t>
        </is>
      </c>
      <c r="D5" s="3" t="inlineStr">
        <is>
          <t>판매채널
(드롭다운)</t>
        </is>
      </c>
      <c r="E5" s="3" t="inlineStr">
        <is>
          <t>주문건수
(0 이상 정수)</t>
        </is>
      </c>
      <c r="F5" s="3" t="inlineStr">
        <is>
          <t>일일 매출액
(할인반영 실매출)</t>
        </is>
      </c>
      <c r="G5" s="3" t="inlineStr">
        <is>
          <t>일일 상품 총원가
(직접입력)</t>
        </is>
      </c>
      <c r="H5" s="3" t="inlineStr">
        <is>
          <t>추가 비용
(특이발생분만)</t>
        </is>
      </c>
      <c r="I5" s="3" t="inlineStr">
        <is>
          <t>비고
(메모/예시구분)</t>
        </is>
      </c>
      <c r="J5" s="4" t="inlineStr">
        <is>
          <t>비용설정 상태
(자동검증)</t>
        </is>
      </c>
      <c r="K5" s="4" t="inlineStr">
        <is>
          <t>적용 수수료율
(자동조회)</t>
        </is>
      </c>
      <c r="L5" s="4" t="inlineStr">
        <is>
          <t>매출액 기준 수수료
(자동계산)</t>
        </is>
      </c>
      <c r="M5" s="4" t="inlineStr">
        <is>
          <t>주문 1건당 비용
(자동조회)</t>
        </is>
      </c>
      <c r="N5" s="4" t="inlineStr">
        <is>
          <t>주문건수 비용 합계
(자동계산)</t>
        </is>
      </c>
      <c r="O5" s="4" t="inlineStr">
        <is>
          <t>총비용
(자동계산)</t>
        </is>
      </c>
      <c r="P5" s="4" t="inlineStr">
        <is>
          <t>순이익
(자동계산)</t>
        </is>
      </c>
      <c r="Q5" s="4" t="inlineStr">
        <is>
          <t>순이익률
(자동계산)</t>
        </is>
      </c>
    </row>
    <row r="6">
      <c r="B6" s="7">
        <v>46030</v>
      </c>
      <c r="C6" s="5" t="inlineStr">
        <is>
          <t>청정영농조합</t>
        </is>
      </c>
      <c r="D6" s="5" t="inlineStr">
        <is>
          <t>스마트스토어</t>
        </is>
      </c>
      <c r="E6" s="8">
        <v>25</v>
      </c>
      <c r="F6" s="8">
        <v>1125000</v>
      </c>
      <c r="G6" s="8">
        <v>580000</v>
      </c>
      <c r="H6" s="8">
        <v>0</v>
      </c>
      <c r="I6" s="6" t="inlineStr">
        <is>
          <t>[예시] 신년 선물세트 기획전</t>
        </is>
      </c>
      <c r="J6" s="10" t="str">
        <f>IF(AND(B6="",C6="",D6=""),"",IF(OR(B6="",D6=""),"비용 설정 필요",IF(COUNTIFS('3_채널별_비용설정'!$C$6:$C$55,D6,'3_채널별_비용설정'!$D$6:$D$55,"&lt;="&amp;B6,'3_채널별_비용설정'!$L$6:$L$55,"&gt;="&amp;B6)=0,"비용 설정 필요",IF(COUNTIFS('3_채널별_비용설정'!$C$6:$C$55,D6,'3_채널별_비용설정'!$D$6:$D$55,"&lt;="&amp;B6,'3_채널별_비용설정'!$L$6:$L$55,"&gt;="&amp;B6)&gt;1,"기간 중복 확인","정상"))))</f>
        <v>정상</v>
      </c>
      <c r="K6" s="15">
        <f>IF(J6="","",IF(J6&lt;&gt;"정상","비용 설정 필요",SUMIFS('3_채널별_비용설정'!$F$6:$F$55,'3_채널별_비용설정'!$C$6:$C$55,D6,'3_채널별_비용설정'!$D$6:$D$55,"&lt;="&amp;B6,'3_채널별_비용설정'!$L$6:$L$55,"&gt;="&amp;B6)))</f>
        <v>0.055</v>
      </c>
      <c r="L6" s="12">
        <f>IF(J6="","",IF(J6&lt;&gt;"정상","비용 설정 필요",ROUND(F6*K6,0)))</f>
        <v>61875</v>
      </c>
      <c r="M6" s="12">
        <f>IF(J6="","",IF(J6&lt;&gt;"정상","비용 설정 필요",SUMIFS('3_채널별_비용설정'!$J$6:$J$55,'3_채널별_비용설정'!$C$6:$C$55,D6,'3_채널별_비용설정'!$D$6:$D$55,"&lt;="&amp;B6,'3_채널별_비용설정'!$L$6:$L$55,"&gt;="&amp;B6)))</f>
        <v>4110</v>
      </c>
      <c r="N6" s="12">
        <f>IF(J6="","",IF(J6&lt;&gt;"정상","비용 설정 필요",E6*M6))</f>
        <v>102750</v>
      </c>
      <c r="O6" s="12">
        <f>IF(J6="","",IF(J6&lt;&gt;"정상","비용 설정 필요",G6+L6+N6+H6))</f>
        <v>744625</v>
      </c>
      <c r="P6" s="13">
        <f>IF(J6="","",IF(J6&lt;&gt;"정상","비용 설정 필요",F6-O6))</f>
        <v>380375</v>
      </c>
      <c r="Q6" s="14">
        <f>IF(J6="","",IF(J6&lt;&gt;"정상","비용 설정 필요",IFERROR(P6/F6,0)))</f>
        <v>0.3381111111111111</v>
      </c>
    </row>
    <row r="7">
      <c r="B7" s="7">
        <v>46037</v>
      </c>
      <c r="C7" s="5" t="inlineStr">
        <is>
          <t>고흥유자농원</t>
        </is>
      </c>
      <c r="D7" s="5" t="inlineStr">
        <is>
          <t>고흥몰</t>
        </is>
      </c>
      <c r="E7" s="8">
        <v>30</v>
      </c>
      <c r="F7" s="8">
        <v>1350000</v>
      </c>
      <c r="G7" s="8">
        <v>690000</v>
      </c>
      <c r="H7" s="8">
        <v>0</v>
      </c>
      <c r="I7" s="6" t="inlineStr">
        <is>
          <t>[예시] 유자청 베스트 상품</t>
        </is>
      </c>
      <c r="J7" s="10" t="str">
        <f>IF(AND(B7="",C7="",D7=""),"",IF(OR(B7="",D7=""),"비용 설정 필요",IF(COUNTIFS('3_채널별_비용설정'!$C$6:$C$55,D7,'3_채널별_비용설정'!$D$6:$D$55,"&lt;="&amp;B7,'3_채널별_비용설정'!$L$6:$L$55,"&gt;="&amp;B7)=0,"비용 설정 필요",IF(COUNTIFS('3_채널별_비용설정'!$C$6:$C$55,D7,'3_채널별_비용설정'!$D$6:$D$55,"&lt;="&amp;B7,'3_채널별_비용설정'!$L$6:$L$55,"&gt;="&amp;B7)&gt;1,"기간 중복 확인","정상"))))</f>
        <v>정상</v>
      </c>
      <c r="K7" s="15">
        <f>IF(J7="","",IF(J7&lt;&gt;"정상","비용 설정 필요",SUMIFS('3_채널별_비용설정'!$F$6:$F$55,'3_채널별_비용설정'!$C$6:$C$55,D7,'3_채널별_비용설정'!$D$6:$D$55,"&lt;="&amp;B7,'3_채널별_비용설정'!$L$6:$L$55,"&gt;="&amp;B7)))</f>
        <v>0.04</v>
      </c>
      <c r="L7" s="12">
        <f>IF(J7="","",IF(J7&lt;&gt;"정상","비용 설정 필요",ROUND(F7*K7,0)))</f>
        <v>54000</v>
      </c>
      <c r="M7" s="12">
        <f>IF(J7="","",IF(J7&lt;&gt;"정상","비용 설정 필요",SUMIFS('3_채널별_비용설정'!$J$6:$J$55,'3_채널별_비용설정'!$C$6:$C$55,D7,'3_채널별_비용설정'!$D$6:$D$55,"&lt;="&amp;B7,'3_채널별_비용설정'!$L$6:$L$55,"&gt;="&amp;B7)))</f>
        <v>4000</v>
      </c>
      <c r="N7" s="12">
        <f>IF(J7="","",IF(J7&lt;&gt;"정상","비용 설정 필요",E7*M7))</f>
        <v>120000</v>
      </c>
      <c r="O7" s="12">
        <f>IF(J7="","",IF(J7&lt;&gt;"정상","비용 설정 필요",G7+L7+N7+H7))</f>
        <v>864000</v>
      </c>
      <c r="P7" s="13">
        <f>IF(J7="","",IF(J7&lt;&gt;"정상","비용 설정 필요",F7-O7))</f>
        <v>486000</v>
      </c>
      <c r="Q7" s="14">
        <f>IF(J7="","",IF(J7&lt;&gt;"정상","비용 설정 필요",IFERROR(P7/F7,0)))</f>
        <v>0.36</v>
      </c>
    </row>
    <row r="8">
      <c r="B8" s="7">
        <v>46044</v>
      </c>
      <c r="C8" s="5" t="inlineStr">
        <is>
          <t>남도바다수산</t>
        </is>
      </c>
      <c r="D8" s="5" t="inlineStr">
        <is>
          <t>농라</t>
        </is>
      </c>
      <c r="E8" s="8">
        <v>40</v>
      </c>
      <c r="F8" s="8">
        <v>1920000</v>
      </c>
      <c r="G8" s="8">
        <v>1150000</v>
      </c>
      <c r="H8" s="8">
        <v>15000</v>
      </c>
      <c r="I8" s="6" t="inlineStr">
        <is>
          <t>[예시] 제철 수산물 공동구매 (아이스팩 추가)</t>
        </is>
      </c>
      <c r="J8" s="10" t="str">
        <f>IF(AND(B8="",C8="",D8=""),"",IF(OR(B8="",D8=""),"비용 설정 필요",IF(COUNTIFS('3_채널별_비용설정'!$C$6:$C$55,D8,'3_채널별_비용설정'!$D$6:$D$55,"&lt;="&amp;B8,'3_채널별_비용설정'!$L$6:$L$55,"&gt;="&amp;B8)=0,"비용 설정 필요",IF(COUNTIFS('3_채널별_비용설정'!$C$6:$C$55,D8,'3_채널별_비용설정'!$D$6:$D$55,"&lt;="&amp;B8,'3_채널별_비용설정'!$L$6:$L$55,"&gt;="&amp;B8)&gt;1,"기간 중복 확인","정상"))))</f>
        <v>정상</v>
      </c>
      <c r="K8" s="15">
        <f>IF(J8="","",IF(J8&lt;&gt;"정상","비용 설정 필요",SUMIFS('3_채널별_비용설정'!$F$6:$F$55,'3_채널별_비용설정'!$C$6:$C$55,D8,'3_채널별_비용설정'!$D$6:$D$55,"&lt;="&amp;B8,'3_채널별_비용설정'!$L$6:$L$55,"&gt;="&amp;B8)))</f>
        <v>0</v>
      </c>
      <c r="L8" s="12">
        <f>IF(J8="","",IF(J8&lt;&gt;"정상","비용 설정 필요",ROUND(F8*K8,0)))</f>
        <v>0</v>
      </c>
      <c r="M8" s="12">
        <f>IF(J8="","",IF(J8&lt;&gt;"정상","비용 설정 필요",SUMIFS('3_채널별_비용설정'!$J$6:$J$55,'3_채널별_비용설정'!$C$6:$C$55,D8,'3_채널별_비용설정'!$D$6:$D$55,"&lt;="&amp;B8,'3_채널별_비용설정'!$L$6:$L$55,"&gt;="&amp;B8)))</f>
        <v>4500</v>
      </c>
      <c r="N8" s="12">
        <f>IF(J8="","",IF(J8&lt;&gt;"정상","비용 설정 필요",E8*M8))</f>
        <v>180000</v>
      </c>
      <c r="O8" s="12">
        <f>IF(J8="","",IF(J8&lt;&gt;"정상","비용 설정 필요",G8+L8+N8+H8))</f>
        <v>1345000</v>
      </c>
      <c r="P8" s="13">
        <f>IF(J8="","",IF(J8&lt;&gt;"정상","비용 설정 필요",F8-O8))</f>
        <v>575000</v>
      </c>
      <c r="Q8" s="14">
        <f>IF(J8="","",IF(J8&lt;&gt;"정상","비용 설정 필요",IFERROR(P8/F8,0)))</f>
        <v>0.2994791666666667</v>
      </c>
    </row>
    <row r="9">
      <c r="B9" s="7">
        <v>46050</v>
      </c>
      <c r="C9" s="5" t="inlineStr">
        <is>
          <t>우리동네직판장</t>
        </is>
      </c>
      <c r="D9" s="5" t="inlineStr">
        <is>
          <t>로컬푸드</t>
        </is>
      </c>
      <c r="E9" s="8">
        <v>55</v>
      </c>
      <c r="F9" s="8">
        <v>990000</v>
      </c>
      <c r="G9" s="8">
        <v>540000</v>
      </c>
      <c r="H9" s="8">
        <v>0</v>
      </c>
      <c r="I9" s="6" t="inlineStr">
        <is>
          <t>[예시] 직매장 주말 납품</t>
        </is>
      </c>
      <c r="J9" s="10" t="str">
        <f>IF(AND(B9="",C9="",D9=""),"",IF(OR(B9="",D9=""),"비용 설정 필요",IF(COUNTIFS('3_채널별_비용설정'!$C$6:$C$55,D9,'3_채널별_비용설정'!$D$6:$D$55,"&lt;="&amp;B9,'3_채널별_비용설정'!$L$6:$L$55,"&gt;="&amp;B9)=0,"비용 설정 필요",IF(COUNTIFS('3_채널별_비용설정'!$C$6:$C$55,D9,'3_채널별_비용설정'!$D$6:$D$55,"&lt;="&amp;B9,'3_채널별_비용설정'!$L$6:$L$55,"&gt;="&amp;B9)&gt;1,"기간 중복 확인","정상"))))</f>
        <v>정상</v>
      </c>
      <c r="K9" s="15">
        <f>IF(J9="","",IF(J9&lt;&gt;"정상","비용 설정 필요",SUMIFS('3_채널별_비용설정'!$F$6:$F$55,'3_채널별_비용설정'!$C$6:$C$55,D9,'3_채널별_비용설정'!$D$6:$D$55,"&lt;="&amp;B9,'3_채널별_비용설정'!$L$6:$L$55,"&gt;="&amp;B9)))</f>
        <v>0.1</v>
      </c>
      <c r="L9" s="12">
        <f>IF(J9="","",IF(J9&lt;&gt;"정상","비용 설정 필요",ROUND(F9*K9,0)))</f>
        <v>99000</v>
      </c>
      <c r="M9" s="12">
        <f>IF(J9="","",IF(J9&lt;&gt;"정상","비용 설정 필요",SUMIFS('3_채널별_비용설정'!$J$6:$J$55,'3_채널별_비용설정'!$C$6:$C$55,D9,'3_채널별_비용설정'!$D$6:$D$55,"&lt;="&amp;B9,'3_채널별_비용설정'!$L$6:$L$55,"&gt;="&amp;B9)))</f>
        <v>700</v>
      </c>
      <c r="N9" s="12">
        <f>IF(J9="","",IF(J9&lt;&gt;"정상","비용 설정 필요",E9*M9))</f>
        <v>38500</v>
      </c>
      <c r="O9" s="12">
        <f>IF(J9="","",IF(J9&lt;&gt;"정상","비용 설정 필요",G9+L9+N9+H9))</f>
        <v>677500</v>
      </c>
      <c r="P9" s="13">
        <f>IF(J9="","",IF(J9&lt;&gt;"정상","비용 설정 필요",F9-O9))</f>
        <v>312500</v>
      </c>
      <c r="Q9" s="14">
        <f>IF(J9="","",IF(J9&lt;&gt;"정상","비용 설정 필요",IFERROR(P9/F9,0)))</f>
        <v>0.31565656565656564</v>
      </c>
    </row>
    <row r="10">
      <c r="B10" s="7">
        <v>46058</v>
      </c>
      <c r="C10" s="5" t="inlineStr">
        <is>
          <t>해피푸드유통</t>
        </is>
      </c>
      <c r="D10" s="5" t="inlineStr">
        <is>
          <t>남도장터</t>
        </is>
      </c>
      <c r="E10" s="8">
        <v>35</v>
      </c>
      <c r="F10" s="8">
        <v>1680000</v>
      </c>
      <c r="G10" s="8">
        <v>920000</v>
      </c>
      <c r="H10" s="8">
        <v>0</v>
      </c>
      <c r="I10" s="6" t="inlineStr">
        <is>
          <t>[예시] 설 명절 특선 세트</t>
        </is>
      </c>
      <c r="J10" s="10" t="str">
        <f>IF(AND(B10="",C10="",D10=""),"",IF(OR(B10="",D10=""),"비용 설정 필요",IF(COUNTIFS('3_채널별_비용설정'!$C$6:$C$55,D10,'3_채널별_비용설정'!$D$6:$D$55,"&lt;="&amp;B10,'3_채널별_비용설정'!$L$6:$L$55,"&gt;="&amp;B10)=0,"비용 설정 필요",IF(COUNTIFS('3_채널별_비용설정'!$C$6:$C$55,D10,'3_채널별_비용설정'!$D$6:$D$55,"&lt;="&amp;B10,'3_채널별_비용설정'!$L$6:$L$55,"&gt;="&amp;B10)&gt;1,"기간 중복 확인","정상"))))</f>
        <v>정상</v>
      </c>
      <c r="K10" s="15">
        <f>IF(J10="","",IF(J10&lt;&gt;"정상","비용 설정 필요",SUMIFS('3_채널별_비용설정'!$F$6:$F$55,'3_채널별_비용설정'!$C$6:$C$55,D10,'3_채널별_비용설정'!$D$6:$D$55,"&lt;="&amp;B10,'3_채널별_비용설정'!$L$6:$L$55,"&gt;="&amp;B10)))</f>
        <v>0.05</v>
      </c>
      <c r="L10" s="12">
        <f>IF(J10="","",IF(J10&lt;&gt;"정상","비용 설정 필요",ROUND(F10*K10,0)))</f>
        <v>84000</v>
      </c>
      <c r="M10" s="12">
        <f>IF(J10="","",IF(J10&lt;&gt;"정상","비용 설정 필요",SUMIFS('3_채널별_비용설정'!$J$6:$J$55,'3_채널별_비용설정'!$C$6:$C$55,D10,'3_채널별_비용설정'!$D$6:$D$55,"&lt;="&amp;B10,'3_채널별_비용설정'!$L$6:$L$55,"&gt;="&amp;B10)))</f>
        <v>4200</v>
      </c>
      <c r="N10" s="12">
        <f>IF(J10="","",IF(J10&lt;&gt;"정상","비용 설정 필요",E10*M10))</f>
        <v>147000</v>
      </c>
      <c r="O10" s="12">
        <f>IF(J10="","",IF(J10&lt;&gt;"정상","비용 설정 필요",G10+L10+N10+H10))</f>
        <v>1151000</v>
      </c>
      <c r="P10" s="13">
        <f>IF(J10="","",IF(J10&lt;&gt;"정상","비용 설정 필요",F10-O10))</f>
        <v>529000</v>
      </c>
      <c r="Q10" s="14">
        <f>IF(J10="","",IF(J10&lt;&gt;"정상","비용 설정 필요",IFERROR(P10/F10,0)))</f>
        <v>0.3148809523809524</v>
      </c>
    </row>
    <row r="11">
      <c r="B11" s="7">
        <v>46064</v>
      </c>
      <c r="C11" s="5" t="inlineStr">
        <is>
          <t>고흥유자농원</t>
        </is>
      </c>
      <c r="D11" s="5" t="inlineStr">
        <is>
          <t>카톡</t>
        </is>
      </c>
      <c r="E11" s="8">
        <v>28</v>
      </c>
      <c r="F11" s="8">
        <v>1120000</v>
      </c>
      <c r="G11" s="8">
        <v>560000</v>
      </c>
      <c r="H11" s="8">
        <v>0</v>
      </c>
      <c r="I11" s="6" t="inlineStr">
        <is>
          <t>[예시] 카톡 선물하기 주문</t>
        </is>
      </c>
      <c r="J11" s="10" t="str">
        <f>IF(AND(B11="",C11="",D11=""),"",IF(OR(B11="",D11=""),"비용 설정 필요",IF(COUNTIFS('3_채널별_비용설정'!$C$6:$C$55,D11,'3_채널별_비용설정'!$D$6:$D$55,"&lt;="&amp;B11,'3_채널별_비용설정'!$L$6:$L$55,"&gt;="&amp;B11)=0,"비용 설정 필요",IF(COUNTIFS('3_채널별_비용설정'!$C$6:$C$55,D11,'3_채널별_비용설정'!$D$6:$D$55,"&lt;="&amp;B11,'3_채널별_비용설정'!$L$6:$L$55,"&gt;="&amp;B11)&gt;1,"기간 중복 확인","정상"))))</f>
        <v>정상</v>
      </c>
      <c r="K11" s="15">
        <f>IF(J11="","",IF(J11&lt;&gt;"정상","비용 설정 필요",SUMIFS('3_채널별_비용설정'!$F$6:$F$55,'3_채널별_비용설정'!$C$6:$C$55,D11,'3_채널별_비용설정'!$D$6:$D$55,"&lt;="&amp;B11,'3_채널별_비용설정'!$L$6:$L$55,"&gt;="&amp;B11)))</f>
        <v>0.033</v>
      </c>
      <c r="L11" s="12">
        <f>IF(J11="","",IF(J11&lt;&gt;"정상","비용 설정 필요",ROUND(F11*K11,0)))</f>
        <v>36960</v>
      </c>
      <c r="M11" s="12">
        <f>IF(J11="","",IF(J11&lt;&gt;"정상","비용 설정 필요",SUMIFS('3_채널별_비용설정'!$J$6:$J$55,'3_채널별_비용설정'!$C$6:$C$55,D11,'3_채널별_비용설정'!$D$6:$D$55,"&lt;="&amp;B11,'3_채널별_비용설정'!$L$6:$L$55,"&gt;="&amp;B11)))</f>
        <v>4500</v>
      </c>
      <c r="N11" s="12">
        <f>IF(J11="","",IF(J11&lt;&gt;"정상","비용 설정 필요",E11*M11))</f>
        <v>126000</v>
      </c>
      <c r="O11" s="12">
        <f>IF(J11="","",IF(J11&lt;&gt;"정상","비용 설정 필요",G11+L11+N11+H11))</f>
        <v>722960</v>
      </c>
      <c r="P11" s="13">
        <f>IF(J11="","",IF(J11&lt;&gt;"정상","비용 설정 필요",F11-O11))</f>
        <v>397040</v>
      </c>
      <c r="Q11" s="14">
        <f>IF(J11="","",IF(J11&lt;&gt;"정상","비용 설정 필요",IFERROR(P11/F11,0)))</f>
        <v>0.3545</v>
      </c>
    </row>
    <row r="12">
      <c r="B12" s="7">
        <v>46072</v>
      </c>
      <c r="C12" s="5" t="inlineStr">
        <is>
          <t>초록들녘농산</t>
        </is>
      </c>
      <c r="D12" s="5" t="inlineStr">
        <is>
          <t>스마트스토어</t>
        </is>
      </c>
      <c r="E12" s="8">
        <v>22</v>
      </c>
      <c r="F12" s="8">
        <v>880000</v>
      </c>
      <c r="G12" s="8">
        <v>460000</v>
      </c>
      <c r="H12" s="8">
        <v>6000</v>
      </c>
      <c r="I12" s="6" t="inlineStr">
        <is>
          <t>[예시] 단순변심 반품 왕복택배비 1건 반영</t>
        </is>
      </c>
      <c r="J12" s="10" t="str">
        <f>IF(AND(B12="",C12="",D12=""),"",IF(OR(B12="",D12=""),"비용 설정 필요",IF(COUNTIFS('3_채널별_비용설정'!$C$6:$C$55,D12,'3_채널별_비용설정'!$D$6:$D$55,"&lt;="&amp;B12,'3_채널별_비용설정'!$L$6:$L$55,"&gt;="&amp;B12)=0,"비용 설정 필요",IF(COUNTIFS('3_채널별_비용설정'!$C$6:$C$55,D12,'3_채널별_비용설정'!$D$6:$D$55,"&lt;="&amp;B12,'3_채널별_비용설정'!$L$6:$L$55,"&gt;="&amp;B12)&gt;1,"기간 중복 확인","정상"))))</f>
        <v>정상</v>
      </c>
      <c r="K12" s="15">
        <f>IF(J12="","",IF(J12&lt;&gt;"정상","비용 설정 필요",SUMIFS('3_채널별_비용설정'!$F$6:$F$55,'3_채널별_비용설정'!$C$6:$C$55,D12,'3_채널별_비용설정'!$D$6:$D$55,"&lt;="&amp;B12,'3_채널별_비용설정'!$L$6:$L$55,"&gt;="&amp;B12)))</f>
        <v>0.055</v>
      </c>
      <c r="L12" s="12">
        <f>IF(J12="","",IF(J12&lt;&gt;"정상","비용 설정 필요",ROUND(F12*K12,0)))</f>
        <v>48400</v>
      </c>
      <c r="M12" s="12">
        <f>IF(J12="","",IF(J12&lt;&gt;"정상","비용 설정 필요",SUMIFS('3_채널별_비용설정'!$J$6:$J$55,'3_채널별_비용설정'!$C$6:$C$55,D12,'3_채널별_비용설정'!$D$6:$D$55,"&lt;="&amp;B12,'3_채널별_비용설정'!$L$6:$L$55,"&gt;="&amp;B12)))</f>
        <v>4110</v>
      </c>
      <c r="N12" s="12">
        <f>IF(J12="","",IF(J12&lt;&gt;"정상","비용 설정 필요",E12*M12))</f>
        <v>90420</v>
      </c>
      <c r="O12" s="12">
        <f>IF(J12="","",IF(J12&lt;&gt;"정상","비용 설정 필요",G12+L12+N12+H12))</f>
        <v>604820</v>
      </c>
      <c r="P12" s="13">
        <f>IF(J12="","",IF(J12&lt;&gt;"정상","비용 설정 필요",F12-O12))</f>
        <v>275180</v>
      </c>
      <c r="Q12" s="14">
        <f>IF(J12="","",IF(J12&lt;&gt;"정상","비용 설정 필요",IFERROR(P12/F12,0)))</f>
        <v>0.31270454545454546</v>
      </c>
    </row>
    <row r="13">
      <c r="B13" s="7">
        <v>46078</v>
      </c>
      <c r="C13" s="5" t="inlineStr">
        <is>
          <t>자체직영(소비자)</t>
        </is>
      </c>
      <c r="D13" s="5" t="inlineStr">
        <is>
          <t>기타</t>
        </is>
      </c>
      <c r="E13" s="8">
        <v>18</v>
      </c>
      <c r="F13" s="8">
        <v>720000</v>
      </c>
      <c r="G13" s="8">
        <v>350000</v>
      </c>
      <c r="H13" s="8">
        <v>0</v>
      </c>
      <c r="I13" s="6" t="inlineStr">
        <is>
          <t>[예시] 전화 주문 단골 고객</t>
        </is>
      </c>
      <c r="J13" s="10" t="str">
        <f>IF(AND(B13="",C13="",D13=""),"",IF(OR(B13="",D13=""),"비용 설정 필요",IF(COUNTIFS('3_채널별_비용설정'!$C$6:$C$55,D13,'3_채널별_비용설정'!$D$6:$D$55,"&lt;="&amp;B13,'3_채널별_비용설정'!$L$6:$L$55,"&gt;="&amp;B13)=0,"비용 설정 필요",IF(COUNTIFS('3_채널별_비용설정'!$C$6:$C$55,D13,'3_채널별_비용설정'!$D$6:$D$55,"&lt;="&amp;B13,'3_채널별_비용설정'!$L$6:$L$55,"&gt;="&amp;B13)&gt;1,"기간 중복 확인","정상"))))</f>
        <v>정상</v>
      </c>
      <c r="K13" s="15">
        <f>IF(J13="","",IF(J13&lt;&gt;"정상","비용 설정 필요",SUMIFS('3_채널별_비용설정'!$F$6:$F$55,'3_채널별_비용설정'!$C$6:$C$55,D13,'3_채널별_비용설정'!$D$6:$D$55,"&lt;="&amp;B13,'3_채널별_비용설정'!$L$6:$L$55,"&gt;="&amp;B13)))</f>
        <v>0.03</v>
      </c>
      <c r="L13" s="12">
        <f>IF(J13="","",IF(J13&lt;&gt;"정상","비용 설정 필요",ROUND(F13*K13,0)))</f>
        <v>21600</v>
      </c>
      <c r="M13" s="12">
        <f>IF(J13="","",IF(J13&lt;&gt;"정상","비용 설정 필요",SUMIFS('3_채널별_비용설정'!$J$6:$J$55,'3_채널별_비용설정'!$C$6:$C$55,D13,'3_채널별_비용설정'!$D$6:$D$55,"&lt;="&amp;B13,'3_채널별_비용설정'!$L$6:$L$55,"&gt;="&amp;B13)))</f>
        <v>4300</v>
      </c>
      <c r="N13" s="12">
        <f>IF(J13="","",IF(J13&lt;&gt;"정상","비용 설정 필요",E13*M13))</f>
        <v>77400</v>
      </c>
      <c r="O13" s="12">
        <f>IF(J13="","",IF(J13&lt;&gt;"정상","비용 설정 필요",G13+L13+N13+H13))</f>
        <v>449000</v>
      </c>
      <c r="P13" s="13">
        <f>IF(J13="","",IF(J13&lt;&gt;"정상","비용 설정 필요",F13-O13))</f>
        <v>271000</v>
      </c>
      <c r="Q13" s="14">
        <f>IF(J13="","",IF(J13&lt;&gt;"정상","비용 설정 필요",IFERROR(P13/F13,0)))</f>
        <v>0.3763888888888889</v>
      </c>
    </row>
    <row r="14">
      <c r="B14" s="7">
        <v>46087</v>
      </c>
      <c r="C14" s="5" t="inlineStr">
        <is>
          <t>청정영농조합</t>
        </is>
      </c>
      <c r="D14" s="5" t="inlineStr">
        <is>
          <t>농라</t>
        </is>
      </c>
      <c r="E14" s="8">
        <v>32</v>
      </c>
      <c r="F14" s="8">
        <v>1440000</v>
      </c>
      <c r="G14" s="8">
        <v>780000</v>
      </c>
      <c r="H14" s="8">
        <v>0</v>
      </c>
      <c r="I14" s="6" t="inlineStr">
        <is>
          <t>[예시] 봄맞이 산지직송</t>
        </is>
      </c>
      <c r="J14" s="10" t="str">
        <f>IF(AND(B14="",C14="",D14=""),"",IF(OR(B14="",D14=""),"비용 설정 필요",IF(COUNTIFS('3_채널별_비용설정'!$C$6:$C$55,D14,'3_채널별_비용설정'!$D$6:$D$55,"&lt;="&amp;B14,'3_채널별_비용설정'!$L$6:$L$55,"&gt;="&amp;B14)=0,"비용 설정 필요",IF(COUNTIFS('3_채널별_비용설정'!$C$6:$C$55,D14,'3_채널별_비용설정'!$D$6:$D$55,"&lt;="&amp;B14,'3_채널별_비용설정'!$L$6:$L$55,"&gt;="&amp;B14)&gt;1,"기간 중복 확인","정상"))))</f>
        <v>정상</v>
      </c>
      <c r="K14" s="15">
        <f>IF(J14="","",IF(J14&lt;&gt;"정상","비용 설정 필요",SUMIFS('3_채널별_비용설정'!$F$6:$F$55,'3_채널별_비용설정'!$C$6:$C$55,D14,'3_채널별_비용설정'!$D$6:$D$55,"&lt;="&amp;B14,'3_채널별_비용설정'!$L$6:$L$55,"&gt;="&amp;B14)))</f>
        <v>0</v>
      </c>
      <c r="L14" s="12">
        <f>IF(J14="","",IF(J14&lt;&gt;"정상","비용 설정 필요",ROUND(F14*K14,0)))</f>
        <v>0</v>
      </c>
      <c r="M14" s="12">
        <f>IF(J14="","",IF(J14&lt;&gt;"정상","비용 설정 필요",SUMIFS('3_채널별_비용설정'!$J$6:$J$55,'3_채널별_비용설정'!$C$6:$C$55,D14,'3_채널별_비용설정'!$D$6:$D$55,"&lt;="&amp;B14,'3_채널별_비용설정'!$L$6:$L$55,"&gt;="&amp;B14)))</f>
        <v>4500</v>
      </c>
      <c r="N14" s="12">
        <f>IF(J14="","",IF(J14&lt;&gt;"정상","비용 설정 필요",E14*M14))</f>
        <v>144000</v>
      </c>
      <c r="O14" s="12">
        <f>IF(J14="","",IF(J14&lt;&gt;"정상","비용 설정 필요",G14+L14+N14+H14))</f>
        <v>924000</v>
      </c>
      <c r="P14" s="13">
        <f>IF(J14="","",IF(J14&lt;&gt;"정상","비용 설정 필요",F14-O14))</f>
        <v>516000</v>
      </c>
      <c r="Q14" s="14">
        <f>IF(J14="","",IF(J14&lt;&gt;"정상","비용 설정 필요",IFERROR(P14/F14,0)))</f>
        <v>0.35833333333333334</v>
      </c>
    </row>
    <row r="15">
      <c r="B15" s="7">
        <v>46095</v>
      </c>
      <c r="C15" s="5" t="inlineStr">
        <is>
          <t>남도바다수산</t>
        </is>
      </c>
      <c r="D15" s="5" t="inlineStr">
        <is>
          <t>남도장터</t>
        </is>
      </c>
      <c r="E15" s="8">
        <v>26</v>
      </c>
      <c r="F15" s="8">
        <v>1300000</v>
      </c>
      <c r="G15" s="8">
        <v>740000</v>
      </c>
      <c r="H15" s="8">
        <v>0</v>
      </c>
      <c r="I15" s="6" t="inlineStr">
        <is>
          <t>[예시] 건어물 기획전</t>
        </is>
      </c>
      <c r="J15" s="10" t="str">
        <f>IF(AND(B15="",C15="",D15=""),"",IF(OR(B15="",D15=""),"비용 설정 필요",IF(COUNTIFS('3_채널별_비용설정'!$C$6:$C$55,D15,'3_채널별_비용설정'!$D$6:$D$55,"&lt;="&amp;B15,'3_채널별_비용설정'!$L$6:$L$55,"&gt;="&amp;B15)=0,"비용 설정 필요",IF(COUNTIFS('3_채널별_비용설정'!$C$6:$C$55,D15,'3_채널별_비용설정'!$D$6:$D$55,"&lt;="&amp;B15,'3_채널별_비용설정'!$L$6:$L$55,"&gt;="&amp;B15)&gt;1,"기간 중복 확인","정상"))))</f>
        <v>정상</v>
      </c>
      <c r="K15" s="15">
        <f>IF(J15="","",IF(J15&lt;&gt;"정상","비용 설정 필요",SUMIFS('3_채널별_비용설정'!$F$6:$F$55,'3_채널별_비용설정'!$C$6:$C$55,D15,'3_채널별_비용설정'!$D$6:$D$55,"&lt;="&amp;B15,'3_채널별_비용설정'!$L$6:$L$55,"&gt;="&amp;B15)))</f>
        <v>0.05</v>
      </c>
      <c r="L15" s="12">
        <f>IF(J15="","",IF(J15&lt;&gt;"정상","비용 설정 필요",ROUND(F15*K15,0)))</f>
        <v>65000</v>
      </c>
      <c r="M15" s="12">
        <f>IF(J15="","",IF(J15&lt;&gt;"정상","비용 설정 필요",SUMIFS('3_채널별_비용설정'!$J$6:$J$55,'3_채널별_비용설정'!$C$6:$C$55,D15,'3_채널별_비용설정'!$D$6:$D$55,"&lt;="&amp;B15,'3_채널별_비용설정'!$L$6:$L$55,"&gt;="&amp;B15)))</f>
        <v>4200</v>
      </c>
      <c r="N15" s="12">
        <f>IF(J15="","",IF(J15&lt;&gt;"정상","비용 설정 필요",E15*M15))</f>
        <v>109200</v>
      </c>
      <c r="O15" s="12">
        <f>IF(J15="","",IF(J15&lt;&gt;"정상","비용 설정 필요",G15+L15+N15+H15))</f>
        <v>914200</v>
      </c>
      <c r="P15" s="13">
        <f>IF(J15="","",IF(J15&lt;&gt;"정상","비용 설정 필요",F15-O15))</f>
        <v>385800</v>
      </c>
      <c r="Q15" s="14">
        <f>IF(J15="","",IF(J15&lt;&gt;"정상","비용 설정 필요",IFERROR(P15/F15,0)))</f>
        <v>0.2967692307692308</v>
      </c>
    </row>
    <row r="16">
      <c r="B16" s="7">
        <v>46102</v>
      </c>
      <c r="C16" s="5" t="inlineStr">
        <is>
          <t>바른먹거리장터</t>
        </is>
      </c>
      <c r="D16" s="5" t="inlineStr">
        <is>
          <t>고흥몰</t>
        </is>
      </c>
      <c r="E16" s="8">
        <v>20</v>
      </c>
      <c r="F16" s="8">
        <v>760000</v>
      </c>
      <c r="G16" s="8">
        <v>490000</v>
      </c>
      <c r="H16" s="8">
        <v>0</v>
      </c>
      <c r="I16" s="6" t="inlineStr">
        <is>
          <t>[예시] 친환경 곡물 세트</t>
        </is>
      </c>
      <c r="J16" s="10" t="str">
        <f>IF(AND(B16="",C16="",D16=""),"",IF(OR(B16="",D16=""),"비용 설정 필요",IF(COUNTIFS('3_채널별_비용설정'!$C$6:$C$55,D16,'3_채널별_비용설정'!$D$6:$D$55,"&lt;="&amp;B16,'3_채널별_비용설정'!$L$6:$L$55,"&gt;="&amp;B16)=0,"비용 설정 필요",IF(COUNTIFS('3_채널별_비용설정'!$C$6:$C$55,D16,'3_채널별_비용설정'!$D$6:$D$55,"&lt;="&amp;B16,'3_채널별_비용설정'!$L$6:$L$55,"&gt;="&amp;B16)&gt;1,"기간 중복 확인","정상"))))</f>
        <v>정상</v>
      </c>
      <c r="K16" s="15">
        <f>IF(J16="","",IF(J16&lt;&gt;"정상","비용 설정 필요",SUMIFS('3_채널별_비용설정'!$F$6:$F$55,'3_채널별_비용설정'!$C$6:$C$55,D16,'3_채널별_비용설정'!$D$6:$D$55,"&lt;="&amp;B16,'3_채널별_비용설정'!$L$6:$L$55,"&gt;="&amp;B16)))</f>
        <v>0.04</v>
      </c>
      <c r="L16" s="12">
        <f>IF(J16="","",IF(J16&lt;&gt;"정상","비용 설정 필요",ROUND(F16*K16,0)))</f>
        <v>30400</v>
      </c>
      <c r="M16" s="12">
        <f>IF(J16="","",IF(J16&lt;&gt;"정상","비용 설정 필요",SUMIFS('3_채널별_비용설정'!$J$6:$J$55,'3_채널별_비용설정'!$C$6:$C$55,D16,'3_채널별_비용설정'!$D$6:$D$55,"&lt;="&amp;B16,'3_채널별_비용설정'!$L$6:$L$55,"&gt;="&amp;B16)))</f>
        <v>4000</v>
      </c>
      <c r="N16" s="12">
        <f>IF(J16="","",IF(J16&lt;&gt;"정상","비용 설정 필요",E16*M16))</f>
        <v>80000</v>
      </c>
      <c r="O16" s="12">
        <f>IF(J16="","",IF(J16&lt;&gt;"정상","비용 설정 필요",G16+L16+N16+H16))</f>
        <v>600400</v>
      </c>
      <c r="P16" s="13">
        <f>IF(J16="","",IF(J16&lt;&gt;"정상","비용 설정 필요",F16-O16))</f>
        <v>159600</v>
      </c>
      <c r="Q16" s="14">
        <f>IF(J16="","",IF(J16&lt;&gt;"정상","비용 설정 필요",IFERROR(P16/F16,0)))</f>
        <v>0.21</v>
      </c>
    </row>
    <row r="17">
      <c r="B17" s="7">
        <v>46110</v>
      </c>
      <c r="C17" s="5" t="inlineStr">
        <is>
          <t>해피푸드유통</t>
        </is>
      </c>
      <c r="D17" s="5" t="inlineStr">
        <is>
          <t>스마트스토어</t>
        </is>
      </c>
      <c r="E17" s="8">
        <v>38</v>
      </c>
      <c r="F17" s="8">
        <v>1710000</v>
      </c>
      <c r="G17" s="8">
        <v>890000</v>
      </c>
      <c r="H17" s="8">
        <v>0</v>
      </c>
      <c r="I17" s="6" t="inlineStr">
        <is>
          <t>[예시] 월말 타임특가</t>
        </is>
      </c>
      <c r="J17" s="10" t="str">
        <f>IF(AND(B17="",C17="",D17=""),"",IF(OR(B17="",D17=""),"비용 설정 필요",IF(COUNTIFS('3_채널별_비용설정'!$C$6:$C$55,D17,'3_채널별_비용설정'!$D$6:$D$55,"&lt;="&amp;B17,'3_채널별_비용설정'!$L$6:$L$55,"&gt;="&amp;B17)=0,"비용 설정 필요",IF(COUNTIFS('3_채널별_비용설정'!$C$6:$C$55,D17,'3_채널별_비용설정'!$D$6:$D$55,"&lt;="&amp;B17,'3_채널별_비용설정'!$L$6:$L$55,"&gt;="&amp;B17)&gt;1,"기간 중복 확인","정상"))))</f>
        <v>정상</v>
      </c>
      <c r="K17" s="15">
        <f>IF(J17="","",IF(J17&lt;&gt;"정상","비용 설정 필요",SUMIFS('3_채널별_비용설정'!$F$6:$F$55,'3_채널별_비용설정'!$C$6:$C$55,D17,'3_채널별_비용설정'!$D$6:$D$55,"&lt;="&amp;B17,'3_채널별_비용설정'!$L$6:$L$55,"&gt;="&amp;B17)))</f>
        <v>0.055</v>
      </c>
      <c r="L17" s="12">
        <f>IF(J17="","",IF(J17&lt;&gt;"정상","비용 설정 필요",ROUND(F17*K17,0)))</f>
        <v>94050</v>
      </c>
      <c r="M17" s="12">
        <f>IF(J17="","",IF(J17&lt;&gt;"정상","비용 설정 필요",SUMIFS('3_채널별_비용설정'!$J$6:$J$55,'3_채널별_비용설정'!$C$6:$C$55,D17,'3_채널별_비용설정'!$D$6:$D$55,"&lt;="&amp;B17,'3_채널별_비용설정'!$L$6:$L$55,"&gt;="&amp;B17)))</f>
        <v>4110</v>
      </c>
      <c r="N17" s="12">
        <f>IF(J17="","",IF(J17&lt;&gt;"정상","비용 설정 필요",E17*M17))</f>
        <v>156180</v>
      </c>
      <c r="O17" s="12">
        <f>IF(J17="","",IF(J17&lt;&gt;"정상","비용 설정 필요",G17+L17+N17+H17))</f>
        <v>1140230</v>
      </c>
      <c r="P17" s="13">
        <f>IF(J17="","",IF(J17&lt;&gt;"정상","비용 설정 필요",F17-O17))</f>
        <v>569770</v>
      </c>
      <c r="Q17" s="14">
        <f>IF(J17="","",IF(J17&lt;&gt;"정상","비용 설정 필요",IFERROR(P17/F17,0)))</f>
        <v>0.3331988304093567</v>
      </c>
    </row>
    <row r="18">
      <c r="B18" s="7">
        <v>46114</v>
      </c>
      <c r="C18" s="5" t="inlineStr">
        <is>
          <t>청정영농조합</t>
        </is>
      </c>
      <c r="D18" s="5" t="inlineStr">
        <is>
          <t>농라</t>
        </is>
      </c>
      <c r="E18" s="8">
        <v>30</v>
      </c>
      <c r="F18" s="8">
        <v>1500000</v>
      </c>
      <c r="G18" s="8">
        <v>820000</v>
      </c>
      <c r="H18" s="8">
        <v>0</v>
      </c>
      <c r="I18" s="6" t="inlineStr">
        <is>
          <t>[예시] 4월 첫째주 공동구매</t>
        </is>
      </c>
      <c r="J18" s="10" t="str">
        <f>IF(AND(B18="",C18="",D18=""),"",IF(OR(B18="",D18=""),"비용 설정 필요",IF(COUNTIFS('3_채널별_비용설정'!$C$6:$C$55,D18,'3_채널별_비용설정'!$D$6:$D$55,"&lt;="&amp;B18,'3_채널별_비용설정'!$L$6:$L$55,"&gt;="&amp;B18)=0,"비용 설정 필요",IF(COUNTIFS('3_채널별_비용설정'!$C$6:$C$55,D18,'3_채널별_비용설정'!$D$6:$D$55,"&lt;="&amp;B18,'3_채널별_비용설정'!$L$6:$L$55,"&gt;="&amp;B18)&gt;1,"기간 중복 확인","정상"))))</f>
        <v>정상</v>
      </c>
      <c r="K18" s="15">
        <f>IF(J18="","",IF(J18&lt;&gt;"정상","비용 설정 필요",SUMIFS('3_채널별_비용설정'!$F$6:$F$55,'3_채널별_비용설정'!$C$6:$C$55,D18,'3_채널별_비용설정'!$D$6:$D$55,"&lt;="&amp;B18,'3_채널별_비용설정'!$L$6:$L$55,"&gt;="&amp;B18)))</f>
        <v>0</v>
      </c>
      <c r="L18" s="12">
        <f>IF(J18="","",IF(J18&lt;&gt;"정상","비용 설정 필요",ROUND(F18*K18,0)))</f>
        <v>0</v>
      </c>
      <c r="M18" s="12">
        <f>IF(J18="","",IF(J18&lt;&gt;"정상","비용 설정 필요",SUMIFS('3_채널별_비용설정'!$J$6:$J$55,'3_채널별_비용설정'!$C$6:$C$55,D18,'3_채널별_비용설정'!$D$6:$D$55,"&lt;="&amp;B18,'3_채널별_비용설정'!$L$6:$L$55,"&gt;="&amp;B18)))</f>
        <v>4500</v>
      </c>
      <c r="N18" s="12">
        <f>IF(J18="","",IF(J18&lt;&gt;"정상","비용 설정 필요",E18*M18))</f>
        <v>135000</v>
      </c>
      <c r="O18" s="12">
        <f>IF(J18="","",IF(J18&lt;&gt;"정상","비용 설정 필요",G18+L18+N18+H18))</f>
        <v>955000</v>
      </c>
      <c r="P18" s="13">
        <f>IF(J18="","",IF(J18&lt;&gt;"정상","비용 설정 필요",F18-O18))</f>
        <v>545000</v>
      </c>
      <c r="Q18" s="14">
        <f>IF(J18="","",IF(J18&lt;&gt;"정상","비용 설정 필요",IFERROR(P18/F18,0)))</f>
        <v>0.36333333333333334</v>
      </c>
    </row>
    <row r="19">
      <c r="B19" s="7">
        <v>46114</v>
      </c>
      <c r="C19" s="5" t="inlineStr">
        <is>
          <t>남도바다수산</t>
        </is>
      </c>
      <c r="D19" s="5" t="inlineStr">
        <is>
          <t>농라</t>
        </is>
      </c>
      <c r="E19" s="8">
        <v>20</v>
      </c>
      <c r="F19" s="8">
        <v>1100000</v>
      </c>
      <c r="G19" s="8">
        <v>640000</v>
      </c>
      <c r="H19" s="8">
        <v>0</v>
      </c>
      <c r="I19" s="6" t="inlineStr">
        <is>
          <t>[예시] 같은 날짜·같은 채널 다른 거래처 분리 입력 예시</t>
        </is>
      </c>
      <c r="J19" s="10" t="str">
        <f>IF(AND(B19="",C19="",D19=""),"",IF(OR(B19="",D19=""),"비용 설정 필요",IF(COUNTIFS('3_채널별_비용설정'!$C$6:$C$55,D19,'3_채널별_비용설정'!$D$6:$D$55,"&lt;="&amp;B19,'3_채널별_비용설정'!$L$6:$L$55,"&gt;="&amp;B19)=0,"비용 설정 필요",IF(COUNTIFS('3_채널별_비용설정'!$C$6:$C$55,D19,'3_채널별_비용설정'!$D$6:$D$55,"&lt;="&amp;B19,'3_채널별_비용설정'!$L$6:$L$55,"&gt;="&amp;B19)&gt;1,"기간 중복 확인","정상"))))</f>
        <v>정상</v>
      </c>
      <c r="K19" s="15">
        <f>IF(J19="","",IF(J19&lt;&gt;"정상","비용 설정 필요",SUMIFS('3_채널별_비용설정'!$F$6:$F$55,'3_채널별_비용설정'!$C$6:$C$55,D19,'3_채널별_비용설정'!$D$6:$D$55,"&lt;="&amp;B19,'3_채널별_비용설정'!$L$6:$L$55,"&gt;="&amp;B19)))</f>
        <v>0</v>
      </c>
      <c r="L19" s="12">
        <f>IF(J19="","",IF(J19&lt;&gt;"정상","비용 설정 필요",ROUND(F19*K19,0)))</f>
        <v>0</v>
      </c>
      <c r="M19" s="12">
        <f>IF(J19="","",IF(J19&lt;&gt;"정상","비용 설정 필요",SUMIFS('3_채널별_비용설정'!$J$6:$J$55,'3_채널별_비용설정'!$C$6:$C$55,D19,'3_채널별_비용설정'!$D$6:$D$55,"&lt;="&amp;B19,'3_채널별_비용설정'!$L$6:$L$55,"&gt;="&amp;B19)))</f>
        <v>4500</v>
      </c>
      <c r="N19" s="12">
        <f>IF(J19="","",IF(J19&lt;&gt;"정상","비용 설정 필요",E19*M19))</f>
        <v>90000</v>
      </c>
      <c r="O19" s="12">
        <f>IF(J19="","",IF(J19&lt;&gt;"정상","비용 설정 필요",G19+L19+N19+H19))</f>
        <v>730000</v>
      </c>
      <c r="P19" s="13">
        <f>IF(J19="","",IF(J19&lt;&gt;"정상","비용 설정 필요",F19-O19))</f>
        <v>370000</v>
      </c>
      <c r="Q19" s="14">
        <f>IF(J19="","",IF(J19&lt;&gt;"정상","비용 설정 필요",IFERROR(P19/F19,0)))</f>
        <v>0.33636363636363636</v>
      </c>
    </row>
    <row r="20">
      <c r="B20" s="7">
        <v>46117</v>
      </c>
      <c r="C20" s="5" t="inlineStr">
        <is>
          <t>고흥유자농원</t>
        </is>
      </c>
      <c r="D20" s="5" t="inlineStr">
        <is>
          <t>고흥몰</t>
        </is>
      </c>
      <c r="E20" s="8">
        <v>35</v>
      </c>
      <c r="F20" s="8">
        <v>1575000</v>
      </c>
      <c r="G20" s="8">
        <v>790000</v>
      </c>
      <c r="H20" s="8">
        <v>0</v>
      </c>
      <c r="I20" s="6" t="inlineStr">
        <is>
          <t>[예시] 고흥몰 봄 정기행사</t>
        </is>
      </c>
      <c r="J20" s="10" t="str">
        <f>IF(AND(B20="",C20="",D20=""),"",IF(OR(B20="",D20=""),"비용 설정 필요",IF(COUNTIFS('3_채널별_비용설정'!$C$6:$C$55,D20,'3_채널별_비용설정'!$D$6:$D$55,"&lt;="&amp;B20,'3_채널별_비용설정'!$L$6:$L$55,"&gt;="&amp;B20)=0,"비용 설정 필요",IF(COUNTIFS('3_채널별_비용설정'!$C$6:$C$55,D20,'3_채널별_비용설정'!$D$6:$D$55,"&lt;="&amp;B20,'3_채널별_비용설정'!$L$6:$L$55,"&gt;="&amp;B20)&gt;1,"기간 중복 확인","정상"))))</f>
        <v>정상</v>
      </c>
      <c r="K20" s="15">
        <f>IF(J20="","",IF(J20&lt;&gt;"정상","비용 설정 필요",SUMIFS('3_채널별_비용설정'!$F$6:$F$55,'3_채널별_비용설정'!$C$6:$C$55,D20,'3_채널별_비용설정'!$D$6:$D$55,"&lt;="&amp;B20,'3_채널별_비용설정'!$L$6:$L$55,"&gt;="&amp;B20)))</f>
        <v>0.04</v>
      </c>
      <c r="L20" s="12">
        <f>IF(J20="","",IF(J20&lt;&gt;"정상","비용 설정 필요",ROUND(F20*K20,0)))</f>
        <v>63000</v>
      </c>
      <c r="M20" s="12">
        <f>IF(J20="","",IF(J20&lt;&gt;"정상","비용 설정 필요",SUMIFS('3_채널별_비용설정'!$J$6:$J$55,'3_채널별_비용설정'!$C$6:$C$55,D20,'3_채널별_비용설정'!$D$6:$D$55,"&lt;="&amp;B20,'3_채널별_비용설정'!$L$6:$L$55,"&gt;="&amp;B20)))</f>
        <v>4000</v>
      </c>
      <c r="N20" s="12">
        <f>IF(J20="","",IF(J20&lt;&gt;"정상","비용 설정 필요",E20*M20))</f>
        <v>140000</v>
      </c>
      <c r="O20" s="12">
        <f>IF(J20="","",IF(J20&lt;&gt;"정상","비용 설정 필요",G20+L20+N20+H20))</f>
        <v>993000</v>
      </c>
      <c r="P20" s="13">
        <f>IF(J20="","",IF(J20&lt;&gt;"정상","비용 설정 필요",F20-O20))</f>
        <v>582000</v>
      </c>
      <c r="Q20" s="14">
        <f>IF(J20="","",IF(J20&lt;&gt;"정상","비용 설정 필요",IFERROR(P20/F20,0)))</f>
        <v>0.36952380952380953</v>
      </c>
    </row>
    <row r="21">
      <c r="B21" s="7">
        <v>46120</v>
      </c>
      <c r="C21" s="5" t="inlineStr">
        <is>
          <t>해피푸드유통</t>
        </is>
      </c>
      <c r="D21" s="5" t="inlineStr">
        <is>
          <t>카톡</t>
        </is>
      </c>
      <c r="E21" s="8">
        <v>25</v>
      </c>
      <c r="F21" s="8">
        <v>1050000</v>
      </c>
      <c r="G21" s="8">
        <v>530000</v>
      </c>
      <c r="H21" s="8">
        <v>0</v>
      </c>
      <c r="I21" s="6" t="inlineStr">
        <is>
          <t>[예시] 톡딜 프로모션</t>
        </is>
      </c>
      <c r="J21" s="10" t="str">
        <f>IF(AND(B21="",C21="",D21=""),"",IF(OR(B21="",D21=""),"비용 설정 필요",IF(COUNTIFS('3_채널별_비용설정'!$C$6:$C$55,D21,'3_채널별_비용설정'!$D$6:$D$55,"&lt;="&amp;B21,'3_채널별_비용설정'!$L$6:$L$55,"&gt;="&amp;B21)=0,"비용 설정 필요",IF(COUNTIFS('3_채널별_비용설정'!$C$6:$C$55,D21,'3_채널별_비용설정'!$D$6:$D$55,"&lt;="&amp;B21,'3_채널별_비용설정'!$L$6:$L$55,"&gt;="&amp;B21)&gt;1,"기간 중복 확인","정상"))))</f>
        <v>정상</v>
      </c>
      <c r="K21" s="15">
        <f>IF(J21="","",IF(J21&lt;&gt;"정상","비용 설정 필요",SUMIFS('3_채널별_비용설정'!$F$6:$F$55,'3_채널별_비용설정'!$C$6:$C$55,D21,'3_채널별_비용설정'!$D$6:$D$55,"&lt;="&amp;B21,'3_채널별_비용설정'!$L$6:$L$55,"&gt;="&amp;B21)))</f>
        <v>0.033</v>
      </c>
      <c r="L21" s="12">
        <f>IF(J21="","",IF(J21&lt;&gt;"정상","비용 설정 필요",ROUND(F21*K21,0)))</f>
        <v>34650</v>
      </c>
      <c r="M21" s="12">
        <f>IF(J21="","",IF(J21&lt;&gt;"정상","비용 설정 필요",SUMIFS('3_채널별_비용설정'!$J$6:$J$55,'3_채널별_비용설정'!$C$6:$C$55,D21,'3_채널별_비용설정'!$D$6:$D$55,"&lt;="&amp;B21,'3_채널별_비용설정'!$L$6:$L$55,"&gt;="&amp;B21)))</f>
        <v>4500</v>
      </c>
      <c r="N21" s="12">
        <f>IF(J21="","",IF(J21&lt;&gt;"정상","비용 설정 필요",E21*M21))</f>
        <v>112500</v>
      </c>
      <c r="O21" s="12">
        <f>IF(J21="","",IF(J21&lt;&gt;"정상","비용 설정 필요",G21+L21+N21+H21))</f>
        <v>677150</v>
      </c>
      <c r="P21" s="13">
        <f>IF(J21="","",IF(J21&lt;&gt;"정상","비용 설정 필요",F21-O21))</f>
        <v>372850</v>
      </c>
      <c r="Q21" s="14">
        <f>IF(J21="","",IF(J21&lt;&gt;"정상","비용 설정 필요",IFERROR(P21/F21,0)))</f>
        <v>0.3550952380952381</v>
      </c>
    </row>
    <row r="22">
      <c r="B22" s="7">
        <v>46123</v>
      </c>
      <c r="C22" s="5" t="inlineStr">
        <is>
          <t>초록들녘농산</t>
        </is>
      </c>
      <c r="D22" s="5" t="inlineStr">
        <is>
          <t>남도장터</t>
        </is>
      </c>
      <c r="E22" s="8">
        <v>28</v>
      </c>
      <c r="F22" s="8">
        <v>1260000</v>
      </c>
      <c r="G22" s="8">
        <v>680000</v>
      </c>
      <c r="H22" s="8">
        <v>0</v>
      </c>
      <c r="I22" s="6" t="inlineStr">
        <is>
          <t>[예시] 남도장터 주말특가</t>
        </is>
      </c>
      <c r="J22" s="10" t="str">
        <f>IF(AND(B22="",C22="",D22=""),"",IF(OR(B22="",D22=""),"비용 설정 필요",IF(COUNTIFS('3_채널별_비용설정'!$C$6:$C$55,D22,'3_채널별_비용설정'!$D$6:$D$55,"&lt;="&amp;B22,'3_채널별_비용설정'!$L$6:$L$55,"&gt;="&amp;B22)=0,"비용 설정 필요",IF(COUNTIFS('3_채널별_비용설정'!$C$6:$C$55,D22,'3_채널별_비용설정'!$D$6:$D$55,"&lt;="&amp;B22,'3_채널별_비용설정'!$L$6:$L$55,"&gt;="&amp;B22)&gt;1,"기간 중복 확인","정상"))))</f>
        <v>정상</v>
      </c>
      <c r="K22" s="15">
        <f>IF(J22="","",IF(J22&lt;&gt;"정상","비용 설정 필요",SUMIFS('3_채널별_비용설정'!$F$6:$F$55,'3_채널별_비용설정'!$C$6:$C$55,D22,'3_채널별_비용설정'!$D$6:$D$55,"&lt;="&amp;B22,'3_채널별_비용설정'!$L$6:$L$55,"&gt;="&amp;B22)))</f>
        <v>0.05</v>
      </c>
      <c r="L22" s="12">
        <f>IF(J22="","",IF(J22&lt;&gt;"정상","비용 설정 필요",ROUND(F22*K22,0)))</f>
        <v>63000</v>
      </c>
      <c r="M22" s="12">
        <f>IF(J22="","",IF(J22&lt;&gt;"정상","비용 설정 필요",SUMIFS('3_채널별_비용설정'!$J$6:$J$55,'3_채널별_비용설정'!$C$6:$C$55,D22,'3_채널별_비용설정'!$D$6:$D$55,"&lt;="&amp;B22,'3_채널별_비용설정'!$L$6:$L$55,"&gt;="&amp;B22)))</f>
        <v>4200</v>
      </c>
      <c r="N22" s="12">
        <f>IF(J22="","",IF(J22&lt;&gt;"정상","비용 설정 필요",E22*M22))</f>
        <v>117600</v>
      </c>
      <c r="O22" s="12">
        <f>IF(J22="","",IF(J22&lt;&gt;"정상","비용 설정 필요",G22+L22+N22+H22))</f>
        <v>860600</v>
      </c>
      <c r="P22" s="13">
        <f>IF(J22="","",IF(J22&lt;&gt;"정상","비용 설정 필요",F22-O22))</f>
        <v>399400</v>
      </c>
      <c r="Q22" s="14">
        <f>IF(J22="","",IF(J22&lt;&gt;"정상","비용 설정 필요",IFERROR(P22/F22,0)))</f>
        <v>0.316984126984127</v>
      </c>
    </row>
    <row r="23">
      <c r="B23" s="7">
        <v>46126</v>
      </c>
      <c r="C23" s="5" t="inlineStr">
        <is>
          <t>고흥유자농원</t>
        </is>
      </c>
      <c r="D23" s="5" t="inlineStr">
        <is>
          <t>스마트스토어</t>
        </is>
      </c>
      <c r="E23" s="8">
        <v>20</v>
      </c>
      <c r="F23" s="8">
        <v>800000</v>
      </c>
      <c r="G23" s="8">
        <v>400000</v>
      </c>
      <c r="H23" s="8">
        <v>0</v>
      </c>
      <c r="I23" s="6" t="inlineStr">
        <is>
          <t>[단가변경 전 확인] 4/15 이전: 수수료 5.5%, 건당비용 4,110원 적용</t>
        </is>
      </c>
      <c r="J23" s="10" t="str">
        <f>IF(AND(B23="",C23="",D23=""),"",IF(OR(B23="",D23=""),"비용 설정 필요",IF(COUNTIFS('3_채널별_비용설정'!$C$6:$C$55,D23,'3_채널별_비용설정'!$D$6:$D$55,"&lt;="&amp;B23,'3_채널별_비용설정'!$L$6:$L$55,"&gt;="&amp;B23)=0,"비용 설정 필요",IF(COUNTIFS('3_채널별_비용설정'!$C$6:$C$55,D23,'3_채널별_비용설정'!$D$6:$D$55,"&lt;="&amp;B23,'3_채널별_비용설정'!$L$6:$L$55,"&gt;="&amp;B23)&gt;1,"기간 중복 확인","정상"))))</f>
        <v>정상</v>
      </c>
      <c r="K23" s="15">
        <f>IF(J23="","",IF(J23&lt;&gt;"정상","비용 설정 필요",SUMIFS('3_채널별_비용설정'!$F$6:$F$55,'3_채널별_비용설정'!$C$6:$C$55,D23,'3_채널별_비용설정'!$D$6:$D$55,"&lt;="&amp;B23,'3_채널별_비용설정'!$L$6:$L$55,"&gt;="&amp;B23)))</f>
        <v>0.055</v>
      </c>
      <c r="L23" s="12">
        <f>IF(J23="","",IF(J23&lt;&gt;"정상","비용 설정 필요",ROUND(F23*K23,0)))</f>
        <v>44000</v>
      </c>
      <c r="M23" s="12">
        <f>IF(J23="","",IF(J23&lt;&gt;"정상","비용 설정 필요",SUMIFS('3_채널별_비용설정'!$J$6:$J$55,'3_채널별_비용설정'!$C$6:$C$55,D23,'3_채널별_비용설정'!$D$6:$D$55,"&lt;="&amp;B23,'3_채널별_비용설정'!$L$6:$L$55,"&gt;="&amp;B23)))</f>
        <v>4110</v>
      </c>
      <c r="N23" s="12">
        <f>IF(J23="","",IF(J23&lt;&gt;"정상","비용 설정 필요",E23*M23))</f>
        <v>82200</v>
      </c>
      <c r="O23" s="12">
        <f>IF(J23="","",IF(J23&lt;&gt;"정상","비용 설정 필요",G23+L23+N23+H23))</f>
        <v>526200</v>
      </c>
      <c r="P23" s="13">
        <f>IF(J23="","",IF(J23&lt;&gt;"정상","비용 설정 필요",F23-O23))</f>
        <v>273800</v>
      </c>
      <c r="Q23" s="14">
        <f>IF(J23="","",IF(J23&lt;&gt;"정상","비용 설정 필요",IFERROR(P23/F23,0)))</f>
        <v>0.34225</v>
      </c>
    </row>
    <row r="24">
      <c r="B24" s="7">
        <v>46129</v>
      </c>
      <c r="C24" s="5" t="inlineStr">
        <is>
          <t>고흥유자농원</t>
        </is>
      </c>
      <c r="D24" s="5" t="inlineStr">
        <is>
          <t>스마트스토어</t>
        </is>
      </c>
      <c r="E24" s="8">
        <v>20</v>
      </c>
      <c r="F24" s="8">
        <v>800000</v>
      </c>
      <c r="G24" s="8">
        <v>400000</v>
      </c>
      <c r="H24" s="8">
        <v>0</v>
      </c>
      <c r="I24" s="6" t="inlineStr">
        <is>
          <t>[단가변경 후 확인] 4/16 이후: 수수료 5.8%, 건당비용 4,830원 자동 적용!</t>
        </is>
      </c>
      <c r="J24" s="10" t="str">
        <f>IF(AND(B24="",C24="",D24=""),"",IF(OR(B24="",D24=""),"비용 설정 필요",IF(COUNTIFS('3_채널별_비용설정'!$C$6:$C$55,D24,'3_채널별_비용설정'!$D$6:$D$55,"&lt;="&amp;B24,'3_채널별_비용설정'!$L$6:$L$55,"&gt;="&amp;B24)=0,"비용 설정 필요",IF(COUNTIFS('3_채널별_비용설정'!$C$6:$C$55,D24,'3_채널별_비용설정'!$D$6:$D$55,"&lt;="&amp;B24,'3_채널별_비용설정'!$L$6:$L$55,"&gt;="&amp;B24)&gt;1,"기간 중복 확인","정상"))))</f>
        <v>정상</v>
      </c>
      <c r="K24" s="15">
        <f>IF(J24="","",IF(J24&lt;&gt;"정상","비용 설정 필요",SUMIFS('3_채널별_비용설정'!$F$6:$F$55,'3_채널별_비용설정'!$C$6:$C$55,D24,'3_채널별_비용설정'!$D$6:$D$55,"&lt;="&amp;B24,'3_채널별_비용설정'!$L$6:$L$55,"&gt;="&amp;B24)))</f>
        <v>0.058</v>
      </c>
      <c r="L24" s="12">
        <f>IF(J24="","",IF(J24&lt;&gt;"정상","비용 설정 필요",ROUND(F24*K24,0)))</f>
        <v>46400</v>
      </c>
      <c r="M24" s="12">
        <f>IF(J24="","",IF(J24&lt;&gt;"정상","비용 설정 필요",SUMIFS('3_채널별_비용설정'!$J$6:$J$55,'3_채널별_비용설정'!$C$6:$C$55,D24,'3_채널별_비용설정'!$D$6:$D$55,"&lt;="&amp;B24,'3_채널별_비용설정'!$L$6:$L$55,"&gt;="&amp;B24)))</f>
        <v>4830</v>
      </c>
      <c r="N24" s="12">
        <f>IF(J24="","",IF(J24&lt;&gt;"정상","비용 설정 필요",E24*M24))</f>
        <v>96600</v>
      </c>
      <c r="O24" s="12">
        <f>IF(J24="","",IF(J24&lt;&gt;"정상","비용 설정 필요",G24+L24+N24+H24))</f>
        <v>543000</v>
      </c>
      <c r="P24" s="13">
        <f>IF(J24="","",IF(J24&lt;&gt;"정상","비용 설정 필요",F24-O24))</f>
        <v>257000</v>
      </c>
      <c r="Q24" s="14">
        <f>IF(J24="","",IF(J24&lt;&gt;"정상","비용 설정 필요",IFERROR(P24/F24,0)))</f>
        <v>0.32125</v>
      </c>
    </row>
    <row r="25">
      <c r="B25" s="7">
        <v>46131</v>
      </c>
      <c r="C25" s="5" t="inlineStr">
        <is>
          <t>우리동네직판장</t>
        </is>
      </c>
      <c r="D25" s="5" t="inlineStr">
        <is>
          <t>로컬푸드</t>
        </is>
      </c>
      <c r="E25" s="8">
        <v>60</v>
      </c>
      <c r="F25" s="8">
        <v>1080000</v>
      </c>
      <c r="G25" s="8">
        <v>590000</v>
      </c>
      <c r="H25" s="8">
        <v>0</v>
      </c>
      <c r="I25" s="6" t="inlineStr">
        <is>
          <t>[예시] 로컬푸드 직매장 주말 완판</t>
        </is>
      </c>
      <c r="J25" s="10" t="str">
        <f>IF(AND(B25="",C25="",D25=""),"",IF(OR(B25="",D25=""),"비용 설정 필요",IF(COUNTIFS('3_채널별_비용설정'!$C$6:$C$55,D25,'3_채널별_비용설정'!$D$6:$D$55,"&lt;="&amp;B25,'3_채널별_비용설정'!$L$6:$L$55,"&gt;="&amp;B25)=0,"비용 설정 필요",IF(COUNTIFS('3_채널별_비용설정'!$C$6:$C$55,D25,'3_채널별_비용설정'!$D$6:$D$55,"&lt;="&amp;B25,'3_채널별_비용설정'!$L$6:$L$55,"&gt;="&amp;B25)&gt;1,"기간 중복 확인","정상"))))</f>
        <v>정상</v>
      </c>
      <c r="K25" s="15">
        <f>IF(J25="","",IF(J25&lt;&gt;"정상","비용 설정 필요",SUMIFS('3_채널별_비용설정'!$F$6:$F$55,'3_채널별_비용설정'!$C$6:$C$55,D25,'3_채널별_비용설정'!$D$6:$D$55,"&lt;="&amp;B25,'3_채널별_비용설정'!$L$6:$L$55,"&gt;="&amp;B25)))</f>
        <v>0.1</v>
      </c>
      <c r="L25" s="12">
        <f>IF(J25="","",IF(J25&lt;&gt;"정상","비용 설정 필요",ROUND(F25*K25,0)))</f>
        <v>108000</v>
      </c>
      <c r="M25" s="12">
        <f>IF(J25="","",IF(J25&lt;&gt;"정상","비용 설정 필요",SUMIFS('3_채널별_비용설정'!$J$6:$J$55,'3_채널별_비용설정'!$C$6:$C$55,D25,'3_채널별_비용설정'!$D$6:$D$55,"&lt;="&amp;B25,'3_채널별_비용설정'!$L$6:$L$55,"&gt;="&amp;B25)))</f>
        <v>700</v>
      </c>
      <c r="N25" s="12">
        <f>IF(J25="","",IF(J25&lt;&gt;"정상","비용 설정 필요",E25*M25))</f>
        <v>42000</v>
      </c>
      <c r="O25" s="12">
        <f>IF(J25="","",IF(J25&lt;&gt;"정상","비용 설정 필요",G25+L25+N25+H25))</f>
        <v>740000</v>
      </c>
      <c r="P25" s="13">
        <f>IF(J25="","",IF(J25&lt;&gt;"정상","비용 설정 필요",F25-O25))</f>
        <v>340000</v>
      </c>
      <c r="Q25" s="14">
        <f>IF(J25="","",IF(J25&lt;&gt;"정상","비용 설정 필요",IFERROR(P25/F25,0)))</f>
        <v>0.3148148148148148</v>
      </c>
    </row>
    <row r="26">
      <c r="B26" s="7">
        <v>46134</v>
      </c>
      <c r="C26" s="5" t="inlineStr">
        <is>
          <t>바른먹거리장터</t>
        </is>
      </c>
      <c r="D26" s="5" t="inlineStr">
        <is>
          <t>스마트스토어</t>
        </is>
      </c>
      <c r="E26" s="8">
        <v>25</v>
      </c>
      <c r="F26" s="8">
        <v>450000</v>
      </c>
      <c r="G26" s="8">
        <v>360000</v>
      </c>
      <c r="H26" s="8">
        <v>30000</v>
      </c>
      <c r="I26" s="6" t="inlineStr">
        <is>
          <t>[적자 구분 예시] 파격 할인특가 및 반품비로 인한 적자 발생</t>
        </is>
      </c>
      <c r="J26" s="10" t="str">
        <f>IF(AND(B26="",C26="",D26=""),"",IF(OR(B26="",D26=""),"비용 설정 필요",IF(COUNTIFS('3_채널별_비용설정'!$C$6:$C$55,D26,'3_채널별_비용설정'!$D$6:$D$55,"&lt;="&amp;B26,'3_채널별_비용설정'!$L$6:$L$55,"&gt;="&amp;B26)=0,"비용 설정 필요",IF(COUNTIFS('3_채널별_비용설정'!$C$6:$C$55,D26,'3_채널별_비용설정'!$D$6:$D$55,"&lt;="&amp;B26,'3_채널별_비용설정'!$L$6:$L$55,"&gt;="&amp;B26)&gt;1,"기간 중복 확인","정상"))))</f>
        <v>정상</v>
      </c>
      <c r="K26" s="15">
        <f>IF(J26="","",IF(J26&lt;&gt;"정상","비용 설정 필요",SUMIFS('3_채널별_비용설정'!$F$6:$F$55,'3_채널별_비용설정'!$C$6:$C$55,D26,'3_채널별_비용설정'!$D$6:$D$55,"&lt;="&amp;B26,'3_채널별_비용설정'!$L$6:$L$55,"&gt;="&amp;B26)))</f>
        <v>0.058</v>
      </c>
      <c r="L26" s="12">
        <f>IF(J26="","",IF(J26&lt;&gt;"정상","비용 설정 필요",ROUND(F26*K26,0)))</f>
        <v>26100</v>
      </c>
      <c r="M26" s="12">
        <f>IF(J26="","",IF(J26&lt;&gt;"정상","비용 설정 필요",SUMIFS('3_채널별_비용설정'!$J$6:$J$55,'3_채널별_비용설정'!$C$6:$C$55,D26,'3_채널별_비용설정'!$D$6:$D$55,"&lt;="&amp;B26,'3_채널별_비용설정'!$L$6:$L$55,"&gt;="&amp;B26)))</f>
        <v>4830</v>
      </c>
      <c r="N26" s="12">
        <f>IF(J26="","",IF(J26&lt;&gt;"정상","비용 설정 필요",E26*M26))</f>
        <v>120750</v>
      </c>
      <c r="O26" s="12">
        <f>IF(J26="","",IF(J26&lt;&gt;"정상","비용 설정 필요",G26+L26+N26+H26))</f>
        <v>536850</v>
      </c>
      <c r="P26" s="13">
        <f>IF(J26="","",IF(J26&lt;&gt;"정상","비용 설정 필요",F26-O26))</f>
        <v>-86850</v>
      </c>
      <c r="Q26" s="14">
        <f>IF(J26="","",IF(J26&lt;&gt;"정상","비용 설정 필요",IFERROR(P26/F26,0)))</f>
        <v>-0.193</v>
      </c>
    </row>
    <row r="27">
      <c r="B27" s="7">
        <v>46137</v>
      </c>
      <c r="C27" s="5" t="inlineStr">
        <is>
          <t>자체직영(소비자)</t>
        </is>
      </c>
      <c r="D27" s="5" t="inlineStr">
        <is>
          <t>기타</t>
        </is>
      </c>
      <c r="E27" s="8">
        <v>15</v>
      </c>
      <c r="F27" s="8">
        <v>675000</v>
      </c>
      <c r="G27" s="8">
        <v>320000</v>
      </c>
      <c r="H27" s="8">
        <v>0</v>
      </c>
      <c r="I27" s="6" t="inlineStr">
        <is>
          <t>[예시] 기업 단체선물 주문</t>
        </is>
      </c>
      <c r="J27" s="10" t="str">
        <f>IF(AND(B27="",C27="",D27=""),"",IF(OR(B27="",D27=""),"비용 설정 필요",IF(COUNTIFS('3_채널별_비용설정'!$C$6:$C$55,D27,'3_채널별_비용설정'!$D$6:$D$55,"&lt;="&amp;B27,'3_채널별_비용설정'!$L$6:$L$55,"&gt;="&amp;B27)=0,"비용 설정 필요",IF(COUNTIFS('3_채널별_비용설정'!$C$6:$C$55,D27,'3_채널별_비용설정'!$D$6:$D$55,"&lt;="&amp;B27,'3_채널별_비용설정'!$L$6:$L$55,"&gt;="&amp;B27)&gt;1,"기간 중복 확인","정상"))))</f>
        <v>정상</v>
      </c>
      <c r="K27" s="15">
        <f>IF(J27="","",IF(J27&lt;&gt;"정상","비용 설정 필요",SUMIFS('3_채널별_비용설정'!$F$6:$F$55,'3_채널별_비용설정'!$C$6:$C$55,D27,'3_채널별_비용설정'!$D$6:$D$55,"&lt;="&amp;B27,'3_채널별_비용설정'!$L$6:$L$55,"&gt;="&amp;B27)))</f>
        <v>0.03</v>
      </c>
      <c r="L27" s="12">
        <f>IF(J27="","",IF(J27&lt;&gt;"정상","비용 설정 필요",ROUND(F27*K27,0)))</f>
        <v>20250</v>
      </c>
      <c r="M27" s="12">
        <f>IF(J27="","",IF(J27&lt;&gt;"정상","비용 설정 필요",SUMIFS('3_채널별_비용설정'!$J$6:$J$55,'3_채널별_비용설정'!$C$6:$C$55,D27,'3_채널별_비용설정'!$D$6:$D$55,"&lt;="&amp;B27,'3_채널별_비용설정'!$L$6:$L$55,"&gt;="&amp;B27)))</f>
        <v>4300</v>
      </c>
      <c r="N27" s="12">
        <f>IF(J27="","",IF(J27&lt;&gt;"정상","비용 설정 필요",E27*M27))</f>
        <v>64500</v>
      </c>
      <c r="O27" s="12">
        <f>IF(J27="","",IF(J27&lt;&gt;"정상","비용 설정 필요",G27+L27+N27+H27))</f>
        <v>404750</v>
      </c>
      <c r="P27" s="13">
        <f>IF(J27="","",IF(J27&lt;&gt;"정상","비용 설정 필요",F27-O27))</f>
        <v>270250</v>
      </c>
      <c r="Q27" s="14">
        <f>IF(J27="","",IF(J27&lt;&gt;"정상","비용 설정 필요",IFERROR(P27/F27,0)))</f>
        <v>0.4003703703703704</v>
      </c>
    </row>
    <row r="28">
      <c r="B28" s="7">
        <v>46139</v>
      </c>
      <c r="C28" s="5" t="inlineStr">
        <is>
          <t>청정영농조합</t>
        </is>
      </c>
      <c r="D28" s="5" t="inlineStr">
        <is>
          <t>카톡</t>
        </is>
      </c>
      <c r="E28" s="8">
        <v>22</v>
      </c>
      <c r="F28" s="8">
        <v>990000</v>
      </c>
      <c r="G28" s="8">
        <v>510000</v>
      </c>
      <c r="H28" s="8">
        <v>0</v>
      </c>
      <c r="I28" s="6" t="inlineStr">
        <is>
          <t>[예시] 재구매 알림톡 주문</t>
        </is>
      </c>
      <c r="J28" s="10" t="str">
        <f>IF(AND(B28="",C28="",D28=""),"",IF(OR(B28="",D28=""),"비용 설정 필요",IF(COUNTIFS('3_채널별_비용설정'!$C$6:$C$55,D28,'3_채널별_비용설정'!$D$6:$D$55,"&lt;="&amp;B28,'3_채널별_비용설정'!$L$6:$L$55,"&gt;="&amp;B28)=0,"비용 설정 필요",IF(COUNTIFS('3_채널별_비용설정'!$C$6:$C$55,D28,'3_채널별_비용설정'!$D$6:$D$55,"&lt;="&amp;B28,'3_채널별_비용설정'!$L$6:$L$55,"&gt;="&amp;B28)&gt;1,"기간 중복 확인","정상"))))</f>
        <v>정상</v>
      </c>
      <c r="K28" s="15">
        <f>IF(J28="","",IF(J28&lt;&gt;"정상","비용 설정 필요",SUMIFS('3_채널별_비용설정'!$F$6:$F$55,'3_채널별_비용설정'!$C$6:$C$55,D28,'3_채널별_비용설정'!$D$6:$D$55,"&lt;="&amp;B28,'3_채널별_비용설정'!$L$6:$L$55,"&gt;="&amp;B28)))</f>
        <v>0.033</v>
      </c>
      <c r="L28" s="12">
        <f>IF(J28="","",IF(J28&lt;&gt;"정상","비용 설정 필요",ROUND(F28*K28,0)))</f>
        <v>32670</v>
      </c>
      <c r="M28" s="12">
        <f>IF(J28="","",IF(J28&lt;&gt;"정상","비용 설정 필요",SUMIFS('3_채널별_비용설정'!$J$6:$J$55,'3_채널별_비용설정'!$C$6:$C$55,D28,'3_채널별_비용설정'!$D$6:$D$55,"&lt;="&amp;B28,'3_채널별_비용설정'!$L$6:$L$55,"&gt;="&amp;B28)))</f>
        <v>4500</v>
      </c>
      <c r="N28" s="12">
        <f>IF(J28="","",IF(J28&lt;&gt;"정상","비용 설정 필요",E28*M28))</f>
        <v>99000</v>
      </c>
      <c r="O28" s="12">
        <f>IF(J28="","",IF(J28&lt;&gt;"정상","비용 설정 필요",G28+L28+N28+H28))</f>
        <v>641670</v>
      </c>
      <c r="P28" s="13">
        <f>IF(J28="","",IF(J28&lt;&gt;"정상","비용 설정 필요",F28-O28))</f>
        <v>348330</v>
      </c>
      <c r="Q28" s="14">
        <f>IF(J28="","",IF(J28&lt;&gt;"정상","비용 설정 필요",IFERROR(P28/F28,0)))</f>
        <v>0.35184848484848485</v>
      </c>
    </row>
    <row r="29">
      <c r="B29" s="7">
        <v>46141</v>
      </c>
      <c r="C29" s="5" t="inlineStr">
        <is>
          <t>남도바다수산</t>
        </is>
      </c>
      <c r="D29" s="5" t="inlineStr">
        <is>
          <t>고흥몰</t>
        </is>
      </c>
      <c r="E29" s="8">
        <v>18</v>
      </c>
      <c r="F29" s="8">
        <v>900000</v>
      </c>
      <c r="G29" s="8">
        <v>490000</v>
      </c>
      <c r="H29" s="8">
        <v>7000</v>
      </c>
      <c r="I29" s="6" t="inlineStr">
        <is>
          <t>[예시] 냉동포장 드라이아이스 추가비용 반영</t>
        </is>
      </c>
      <c r="J29" s="10" t="str">
        <f>IF(AND(B29="",C29="",D29=""),"",IF(OR(B29="",D29=""),"비용 설정 필요",IF(COUNTIFS('3_채널별_비용설정'!$C$6:$C$55,D29,'3_채널별_비용설정'!$D$6:$D$55,"&lt;="&amp;B29,'3_채널별_비용설정'!$L$6:$L$55,"&gt;="&amp;B29)=0,"비용 설정 필요",IF(COUNTIFS('3_채널별_비용설정'!$C$6:$C$55,D29,'3_채널별_비용설정'!$D$6:$D$55,"&lt;="&amp;B29,'3_채널별_비용설정'!$L$6:$L$55,"&gt;="&amp;B29)&gt;1,"기간 중복 확인","정상"))))</f>
        <v>정상</v>
      </c>
      <c r="K29" s="15">
        <f>IF(J29="","",IF(J29&lt;&gt;"정상","비용 설정 필요",SUMIFS('3_채널별_비용설정'!$F$6:$F$55,'3_채널별_비용설정'!$C$6:$C$55,D29,'3_채널별_비용설정'!$D$6:$D$55,"&lt;="&amp;B29,'3_채널별_비용설정'!$L$6:$L$55,"&gt;="&amp;B29)))</f>
        <v>0.04</v>
      </c>
      <c r="L29" s="12">
        <f>IF(J29="","",IF(J29&lt;&gt;"정상","비용 설정 필요",ROUND(F29*K29,0)))</f>
        <v>36000</v>
      </c>
      <c r="M29" s="12">
        <f>IF(J29="","",IF(J29&lt;&gt;"정상","비용 설정 필요",SUMIFS('3_채널별_비용설정'!$J$6:$J$55,'3_채널별_비용설정'!$C$6:$C$55,D29,'3_채널별_비용설정'!$D$6:$D$55,"&lt;="&amp;B29,'3_채널별_비용설정'!$L$6:$L$55,"&gt;="&amp;B29)))</f>
        <v>4000</v>
      </c>
      <c r="N29" s="12">
        <f>IF(J29="","",IF(J29&lt;&gt;"정상","비용 설정 필요",E29*M29))</f>
        <v>72000</v>
      </c>
      <c r="O29" s="12">
        <f>IF(J29="","",IF(J29&lt;&gt;"정상","비용 설정 필요",G29+L29+N29+H29))</f>
        <v>605000</v>
      </c>
      <c r="P29" s="13">
        <f>IF(J29="","",IF(J29&lt;&gt;"정상","비용 설정 필요",F29-O29))</f>
        <v>295000</v>
      </c>
      <c r="Q29" s="14">
        <f>IF(J29="","",IF(J29&lt;&gt;"정상","비용 설정 필요",IFERROR(P29/F29,0)))</f>
        <v>0.3277777777777778</v>
      </c>
    </row>
    <row r="30">
      <c r="B30" s="7"/>
      <c r="C30" s="5"/>
      <c r="D30" s="5"/>
      <c r="E30" s="8"/>
      <c r="F30" s="8"/>
      <c r="G30" s="8"/>
      <c r="H30" s="8"/>
      <c r="I30" s="6"/>
      <c r="J30" s="10" t="str">
        <f>IF(AND(B30="",C30="",D30=""),"",IF(OR(B30="",D30=""),"비용 설정 필요",IF(COUNTIFS('3_채널별_비용설정'!$C$6:$C$55,D30,'3_채널별_비용설정'!$D$6:$D$55,"&lt;="&amp;B30,'3_채널별_비용설정'!$L$6:$L$55,"&gt;="&amp;B30)=0,"비용 설정 필요",IF(COUNTIFS('3_채널별_비용설정'!$C$6:$C$55,D30,'3_채널별_비용설정'!$D$6:$D$55,"&lt;="&amp;B30,'3_채널별_비용설정'!$L$6:$L$55,"&gt;="&amp;B30)&gt;1,"기간 중복 확인","정상"))))</f>
      </c>
      <c r="K30" s="15" t="str">
        <f>IF(J30="","",IF(J30&lt;&gt;"정상","비용 설정 필요",SUMIFS('3_채널별_비용설정'!$F$6:$F$55,'3_채널별_비용설정'!$C$6:$C$55,D30,'3_채널별_비용설정'!$D$6:$D$55,"&lt;="&amp;B30,'3_채널별_비용설정'!$L$6:$L$55,"&gt;="&amp;B30)))</f>
      </c>
      <c r="L30" s="12" t="str">
        <f>IF(J30="","",IF(J30&lt;&gt;"정상","비용 설정 필요",ROUND(F30*K30,0)))</f>
      </c>
      <c r="M30" s="12" t="str">
        <f>IF(J30="","",IF(J30&lt;&gt;"정상","비용 설정 필요",SUMIFS('3_채널별_비용설정'!$J$6:$J$55,'3_채널별_비용설정'!$C$6:$C$55,D30,'3_채널별_비용설정'!$D$6:$D$55,"&lt;="&amp;B30,'3_채널별_비용설정'!$L$6:$L$55,"&gt;="&amp;B30)))</f>
      </c>
      <c r="N30" s="12" t="str">
        <f>IF(J30="","",IF(J30&lt;&gt;"정상","비용 설정 필요",E30*M30))</f>
      </c>
      <c r="O30" s="12" t="str">
        <f>IF(J30="","",IF(J30&lt;&gt;"정상","비용 설정 필요",G30+L30+N30+H30))</f>
      </c>
      <c r="P30" s="13" t="str">
        <f>IF(J30="","",IF(J30&lt;&gt;"정상","비용 설정 필요",F30-O30))</f>
      </c>
      <c r="Q30" s="14" t="str">
        <f>IF(J30="","",IF(J30&lt;&gt;"정상","비용 설정 필요",IFERROR(P30/F30,0)))</f>
      </c>
    </row>
    <row r="31">
      <c r="B31" s="7"/>
      <c r="C31" s="5"/>
      <c r="D31" s="5"/>
      <c r="E31" s="8"/>
      <c r="F31" s="8"/>
      <c r="G31" s="8"/>
      <c r="H31" s="8"/>
      <c r="I31" s="6"/>
      <c r="J31" s="10" t="str">
        <f>IF(AND(B31="",C31="",D31=""),"",IF(OR(B31="",D31=""),"비용 설정 필요",IF(COUNTIFS('3_채널별_비용설정'!$C$6:$C$55,D31,'3_채널별_비용설정'!$D$6:$D$55,"&lt;="&amp;B31,'3_채널별_비용설정'!$L$6:$L$55,"&gt;="&amp;B31)=0,"비용 설정 필요",IF(COUNTIFS('3_채널별_비용설정'!$C$6:$C$55,D31,'3_채널별_비용설정'!$D$6:$D$55,"&lt;="&amp;B31,'3_채널별_비용설정'!$L$6:$L$55,"&gt;="&amp;B31)&gt;1,"기간 중복 확인","정상"))))</f>
      </c>
      <c r="K31" s="15" t="str">
        <f>IF(J31="","",IF(J31&lt;&gt;"정상","비용 설정 필요",SUMIFS('3_채널별_비용설정'!$F$6:$F$55,'3_채널별_비용설정'!$C$6:$C$55,D31,'3_채널별_비용설정'!$D$6:$D$55,"&lt;="&amp;B31,'3_채널별_비용설정'!$L$6:$L$55,"&gt;="&amp;B31)))</f>
      </c>
      <c r="L31" s="12" t="str">
        <f>IF(J31="","",IF(J31&lt;&gt;"정상","비용 설정 필요",ROUND(F31*K31,0)))</f>
      </c>
      <c r="M31" s="12" t="str">
        <f>IF(J31="","",IF(J31&lt;&gt;"정상","비용 설정 필요",SUMIFS('3_채널별_비용설정'!$J$6:$J$55,'3_채널별_비용설정'!$C$6:$C$55,D31,'3_채널별_비용설정'!$D$6:$D$55,"&lt;="&amp;B31,'3_채널별_비용설정'!$L$6:$L$55,"&gt;="&amp;B31)))</f>
      </c>
      <c r="N31" s="12" t="str">
        <f>IF(J31="","",IF(J31&lt;&gt;"정상","비용 설정 필요",E31*M31))</f>
      </c>
      <c r="O31" s="12" t="str">
        <f>IF(J31="","",IF(J31&lt;&gt;"정상","비용 설정 필요",G31+L31+N31+H31))</f>
      </c>
      <c r="P31" s="13" t="str">
        <f>IF(J31="","",IF(J31&lt;&gt;"정상","비용 설정 필요",F31-O31))</f>
      </c>
      <c r="Q31" s="14" t="str">
        <f>IF(J31="","",IF(J31&lt;&gt;"정상","비용 설정 필요",IFERROR(P31/F31,0)))</f>
      </c>
    </row>
    <row r="32">
      <c r="B32" s="7"/>
      <c r="C32" s="5"/>
      <c r="D32" s="5"/>
      <c r="E32" s="8"/>
      <c r="F32" s="8"/>
      <c r="G32" s="8"/>
      <c r="H32" s="8"/>
      <c r="I32" s="6"/>
      <c r="J32" s="10" t="str">
        <f>IF(AND(B32="",C32="",D32=""),"",IF(OR(B32="",D32=""),"비용 설정 필요",IF(COUNTIFS('3_채널별_비용설정'!$C$6:$C$55,D32,'3_채널별_비용설정'!$D$6:$D$55,"&lt;="&amp;B32,'3_채널별_비용설정'!$L$6:$L$55,"&gt;="&amp;B32)=0,"비용 설정 필요",IF(COUNTIFS('3_채널별_비용설정'!$C$6:$C$55,D32,'3_채널별_비용설정'!$D$6:$D$55,"&lt;="&amp;B32,'3_채널별_비용설정'!$L$6:$L$55,"&gt;="&amp;B32)&gt;1,"기간 중복 확인","정상"))))</f>
      </c>
      <c r="K32" s="15" t="str">
        <f>IF(J32="","",IF(J32&lt;&gt;"정상","비용 설정 필요",SUMIFS('3_채널별_비용설정'!$F$6:$F$55,'3_채널별_비용설정'!$C$6:$C$55,D32,'3_채널별_비용설정'!$D$6:$D$55,"&lt;="&amp;B32,'3_채널별_비용설정'!$L$6:$L$55,"&gt;="&amp;B32)))</f>
      </c>
      <c r="L32" s="12" t="str">
        <f>IF(J32="","",IF(J32&lt;&gt;"정상","비용 설정 필요",ROUND(F32*K32,0)))</f>
      </c>
      <c r="M32" s="12" t="str">
        <f>IF(J32="","",IF(J32&lt;&gt;"정상","비용 설정 필요",SUMIFS('3_채널별_비용설정'!$J$6:$J$55,'3_채널별_비용설정'!$C$6:$C$55,D32,'3_채널별_비용설정'!$D$6:$D$55,"&lt;="&amp;B32,'3_채널별_비용설정'!$L$6:$L$55,"&gt;="&amp;B32)))</f>
      </c>
      <c r="N32" s="12" t="str">
        <f>IF(J32="","",IF(J32&lt;&gt;"정상","비용 설정 필요",E32*M32))</f>
      </c>
      <c r="O32" s="12" t="str">
        <f>IF(J32="","",IF(J32&lt;&gt;"정상","비용 설정 필요",G32+L32+N32+H32))</f>
      </c>
      <c r="P32" s="13" t="str">
        <f>IF(J32="","",IF(J32&lt;&gt;"정상","비용 설정 필요",F32-O32))</f>
      </c>
      <c r="Q32" s="14" t="str">
        <f>IF(J32="","",IF(J32&lt;&gt;"정상","비용 설정 필요",IFERROR(P32/F32,0)))</f>
      </c>
    </row>
    <row r="33">
      <c r="B33" s="7"/>
      <c r="C33" s="5"/>
      <c r="D33" s="5"/>
      <c r="E33" s="8"/>
      <c r="F33" s="8"/>
      <c r="G33" s="8"/>
      <c r="H33" s="8"/>
      <c r="I33" s="6"/>
      <c r="J33" s="10" t="str">
        <f>IF(AND(B33="",C33="",D33=""),"",IF(OR(B33="",D33=""),"비용 설정 필요",IF(COUNTIFS('3_채널별_비용설정'!$C$6:$C$55,D33,'3_채널별_비용설정'!$D$6:$D$55,"&lt;="&amp;B33,'3_채널별_비용설정'!$L$6:$L$55,"&gt;="&amp;B33)=0,"비용 설정 필요",IF(COUNTIFS('3_채널별_비용설정'!$C$6:$C$55,D33,'3_채널별_비용설정'!$D$6:$D$55,"&lt;="&amp;B33,'3_채널별_비용설정'!$L$6:$L$55,"&gt;="&amp;B33)&gt;1,"기간 중복 확인","정상"))))</f>
      </c>
      <c r="K33" s="15" t="str">
        <f>IF(J33="","",IF(J33&lt;&gt;"정상","비용 설정 필요",SUMIFS('3_채널별_비용설정'!$F$6:$F$55,'3_채널별_비용설정'!$C$6:$C$55,D33,'3_채널별_비용설정'!$D$6:$D$55,"&lt;="&amp;B33,'3_채널별_비용설정'!$L$6:$L$55,"&gt;="&amp;B33)))</f>
      </c>
      <c r="L33" s="12" t="str">
        <f>IF(J33="","",IF(J33&lt;&gt;"정상","비용 설정 필요",ROUND(F33*K33,0)))</f>
      </c>
      <c r="M33" s="12" t="str">
        <f>IF(J33="","",IF(J33&lt;&gt;"정상","비용 설정 필요",SUMIFS('3_채널별_비용설정'!$J$6:$J$55,'3_채널별_비용설정'!$C$6:$C$55,D33,'3_채널별_비용설정'!$D$6:$D$55,"&lt;="&amp;B33,'3_채널별_비용설정'!$L$6:$L$55,"&gt;="&amp;B33)))</f>
      </c>
      <c r="N33" s="12" t="str">
        <f>IF(J33="","",IF(J33&lt;&gt;"정상","비용 설정 필요",E33*M33))</f>
      </c>
      <c r="O33" s="12" t="str">
        <f>IF(J33="","",IF(J33&lt;&gt;"정상","비용 설정 필요",G33+L33+N33+H33))</f>
      </c>
      <c r="P33" s="13" t="str">
        <f>IF(J33="","",IF(J33&lt;&gt;"정상","비용 설정 필요",F33-O33))</f>
      </c>
      <c r="Q33" s="14" t="str">
        <f>IF(J33="","",IF(J33&lt;&gt;"정상","비용 설정 필요",IFERROR(P33/F33,0)))</f>
      </c>
    </row>
    <row r="34">
      <c r="B34" s="7"/>
      <c r="C34" s="5"/>
      <c r="D34" s="5"/>
      <c r="E34" s="8"/>
      <c r="F34" s="8"/>
      <c r="G34" s="8"/>
      <c r="H34" s="8"/>
      <c r="I34" s="6"/>
      <c r="J34" s="10" t="str">
        <f>IF(AND(B34="",C34="",D34=""),"",IF(OR(B34="",D34=""),"비용 설정 필요",IF(COUNTIFS('3_채널별_비용설정'!$C$6:$C$55,D34,'3_채널별_비용설정'!$D$6:$D$55,"&lt;="&amp;B34,'3_채널별_비용설정'!$L$6:$L$55,"&gt;="&amp;B34)=0,"비용 설정 필요",IF(COUNTIFS('3_채널별_비용설정'!$C$6:$C$55,D34,'3_채널별_비용설정'!$D$6:$D$55,"&lt;="&amp;B34,'3_채널별_비용설정'!$L$6:$L$55,"&gt;="&amp;B34)&gt;1,"기간 중복 확인","정상"))))</f>
      </c>
      <c r="K34" s="15" t="str">
        <f>IF(J34="","",IF(J34&lt;&gt;"정상","비용 설정 필요",SUMIFS('3_채널별_비용설정'!$F$6:$F$55,'3_채널별_비용설정'!$C$6:$C$55,D34,'3_채널별_비용설정'!$D$6:$D$55,"&lt;="&amp;B34,'3_채널별_비용설정'!$L$6:$L$55,"&gt;="&amp;B34)))</f>
      </c>
      <c r="L34" s="12" t="str">
        <f>IF(J34="","",IF(J34&lt;&gt;"정상","비용 설정 필요",ROUND(F34*K34,0)))</f>
      </c>
      <c r="M34" s="12" t="str">
        <f>IF(J34="","",IF(J34&lt;&gt;"정상","비용 설정 필요",SUMIFS('3_채널별_비용설정'!$J$6:$J$55,'3_채널별_비용설정'!$C$6:$C$55,D34,'3_채널별_비용설정'!$D$6:$D$55,"&lt;="&amp;B34,'3_채널별_비용설정'!$L$6:$L$55,"&gt;="&amp;B34)))</f>
      </c>
      <c r="N34" s="12" t="str">
        <f>IF(J34="","",IF(J34&lt;&gt;"정상","비용 설정 필요",E34*M34))</f>
      </c>
      <c r="O34" s="12" t="str">
        <f>IF(J34="","",IF(J34&lt;&gt;"정상","비용 설정 필요",G34+L34+N34+H34))</f>
      </c>
      <c r="P34" s="13" t="str">
        <f>IF(J34="","",IF(J34&lt;&gt;"정상","비용 설정 필요",F34-O34))</f>
      </c>
      <c r="Q34" s="14" t="str">
        <f>IF(J34="","",IF(J34&lt;&gt;"정상","비용 설정 필요",IFERROR(P34/F34,0)))</f>
      </c>
    </row>
    <row r="35">
      <c r="B35" s="7"/>
      <c r="C35" s="5"/>
      <c r="D35" s="5"/>
      <c r="E35" s="8"/>
      <c r="F35" s="8"/>
      <c r="G35" s="8"/>
      <c r="H35" s="8"/>
      <c r="I35" s="6"/>
      <c r="J35" s="10" t="str">
        <f>IF(AND(B35="",C35="",D35=""),"",IF(OR(B35="",D35=""),"비용 설정 필요",IF(COUNTIFS('3_채널별_비용설정'!$C$6:$C$55,D35,'3_채널별_비용설정'!$D$6:$D$55,"&lt;="&amp;B35,'3_채널별_비용설정'!$L$6:$L$55,"&gt;="&amp;B35)=0,"비용 설정 필요",IF(COUNTIFS('3_채널별_비용설정'!$C$6:$C$55,D35,'3_채널별_비용설정'!$D$6:$D$55,"&lt;="&amp;B35,'3_채널별_비용설정'!$L$6:$L$55,"&gt;="&amp;B35)&gt;1,"기간 중복 확인","정상"))))</f>
      </c>
      <c r="K35" s="15" t="str">
        <f>IF(J35="","",IF(J35&lt;&gt;"정상","비용 설정 필요",SUMIFS('3_채널별_비용설정'!$F$6:$F$55,'3_채널별_비용설정'!$C$6:$C$55,D35,'3_채널별_비용설정'!$D$6:$D$55,"&lt;="&amp;B35,'3_채널별_비용설정'!$L$6:$L$55,"&gt;="&amp;B35)))</f>
      </c>
      <c r="L35" s="12" t="str">
        <f>IF(J35="","",IF(J35&lt;&gt;"정상","비용 설정 필요",ROUND(F35*K35,0)))</f>
      </c>
      <c r="M35" s="12" t="str">
        <f>IF(J35="","",IF(J35&lt;&gt;"정상","비용 설정 필요",SUMIFS('3_채널별_비용설정'!$J$6:$J$55,'3_채널별_비용설정'!$C$6:$C$55,D35,'3_채널별_비용설정'!$D$6:$D$55,"&lt;="&amp;B35,'3_채널별_비용설정'!$L$6:$L$55,"&gt;="&amp;B35)))</f>
      </c>
      <c r="N35" s="12" t="str">
        <f>IF(J35="","",IF(J35&lt;&gt;"정상","비용 설정 필요",E35*M35))</f>
      </c>
      <c r="O35" s="12" t="str">
        <f>IF(J35="","",IF(J35&lt;&gt;"정상","비용 설정 필요",G35+L35+N35+H35))</f>
      </c>
      <c r="P35" s="13" t="str">
        <f>IF(J35="","",IF(J35&lt;&gt;"정상","비용 설정 필요",F35-O35))</f>
      </c>
      <c r="Q35" s="14" t="str">
        <f>IF(J35="","",IF(J35&lt;&gt;"정상","비용 설정 필요",IFERROR(P35/F35,0)))</f>
      </c>
    </row>
    <row r="36">
      <c r="B36" s="7"/>
      <c r="C36" s="5"/>
      <c r="D36" s="5"/>
      <c r="E36" s="8"/>
      <c r="F36" s="8"/>
      <c r="G36" s="8"/>
      <c r="H36" s="8"/>
      <c r="I36" s="6"/>
      <c r="J36" s="10" t="str">
        <f>IF(AND(B36="",C36="",D36=""),"",IF(OR(B36="",D36=""),"비용 설정 필요",IF(COUNTIFS('3_채널별_비용설정'!$C$6:$C$55,D36,'3_채널별_비용설정'!$D$6:$D$55,"&lt;="&amp;B36,'3_채널별_비용설정'!$L$6:$L$55,"&gt;="&amp;B36)=0,"비용 설정 필요",IF(COUNTIFS('3_채널별_비용설정'!$C$6:$C$55,D36,'3_채널별_비용설정'!$D$6:$D$55,"&lt;="&amp;B36,'3_채널별_비용설정'!$L$6:$L$55,"&gt;="&amp;B36)&gt;1,"기간 중복 확인","정상"))))</f>
      </c>
      <c r="K36" s="15" t="str">
        <f>IF(J36="","",IF(J36&lt;&gt;"정상","비용 설정 필요",SUMIFS('3_채널별_비용설정'!$F$6:$F$55,'3_채널별_비용설정'!$C$6:$C$55,D36,'3_채널별_비용설정'!$D$6:$D$55,"&lt;="&amp;B36,'3_채널별_비용설정'!$L$6:$L$55,"&gt;="&amp;B36)))</f>
      </c>
      <c r="L36" s="12" t="str">
        <f>IF(J36="","",IF(J36&lt;&gt;"정상","비용 설정 필요",ROUND(F36*K36,0)))</f>
      </c>
      <c r="M36" s="12" t="str">
        <f>IF(J36="","",IF(J36&lt;&gt;"정상","비용 설정 필요",SUMIFS('3_채널별_비용설정'!$J$6:$J$55,'3_채널별_비용설정'!$C$6:$C$55,D36,'3_채널별_비용설정'!$D$6:$D$55,"&lt;="&amp;B36,'3_채널별_비용설정'!$L$6:$L$55,"&gt;="&amp;B36)))</f>
      </c>
      <c r="N36" s="12" t="str">
        <f>IF(J36="","",IF(J36&lt;&gt;"정상","비용 설정 필요",E36*M36))</f>
      </c>
      <c r="O36" s="12" t="str">
        <f>IF(J36="","",IF(J36&lt;&gt;"정상","비용 설정 필요",G36+L36+N36+H36))</f>
      </c>
      <c r="P36" s="13" t="str">
        <f>IF(J36="","",IF(J36&lt;&gt;"정상","비용 설정 필요",F36-O36))</f>
      </c>
      <c r="Q36" s="14" t="str">
        <f>IF(J36="","",IF(J36&lt;&gt;"정상","비용 설정 필요",IFERROR(P36/F36,0)))</f>
      </c>
    </row>
    <row r="37">
      <c r="B37" s="7"/>
      <c r="C37" s="5"/>
      <c r="D37" s="5"/>
      <c r="E37" s="8"/>
      <c r="F37" s="8"/>
      <c r="G37" s="8"/>
      <c r="H37" s="8"/>
      <c r="I37" s="6"/>
      <c r="J37" s="10" t="str">
        <f>IF(AND(B37="",C37="",D37=""),"",IF(OR(B37="",D37=""),"비용 설정 필요",IF(COUNTIFS('3_채널별_비용설정'!$C$6:$C$55,D37,'3_채널별_비용설정'!$D$6:$D$55,"&lt;="&amp;B37,'3_채널별_비용설정'!$L$6:$L$55,"&gt;="&amp;B37)=0,"비용 설정 필요",IF(COUNTIFS('3_채널별_비용설정'!$C$6:$C$55,D37,'3_채널별_비용설정'!$D$6:$D$55,"&lt;="&amp;B37,'3_채널별_비용설정'!$L$6:$L$55,"&gt;="&amp;B37)&gt;1,"기간 중복 확인","정상"))))</f>
      </c>
      <c r="K37" s="15" t="str">
        <f>IF(J37="","",IF(J37&lt;&gt;"정상","비용 설정 필요",SUMIFS('3_채널별_비용설정'!$F$6:$F$55,'3_채널별_비용설정'!$C$6:$C$55,D37,'3_채널별_비용설정'!$D$6:$D$55,"&lt;="&amp;B37,'3_채널별_비용설정'!$L$6:$L$55,"&gt;="&amp;B37)))</f>
      </c>
      <c r="L37" s="12" t="str">
        <f>IF(J37="","",IF(J37&lt;&gt;"정상","비용 설정 필요",ROUND(F37*K37,0)))</f>
      </c>
      <c r="M37" s="12" t="str">
        <f>IF(J37="","",IF(J37&lt;&gt;"정상","비용 설정 필요",SUMIFS('3_채널별_비용설정'!$J$6:$J$55,'3_채널별_비용설정'!$C$6:$C$55,D37,'3_채널별_비용설정'!$D$6:$D$55,"&lt;="&amp;B37,'3_채널별_비용설정'!$L$6:$L$55,"&gt;="&amp;B37)))</f>
      </c>
      <c r="N37" s="12" t="str">
        <f>IF(J37="","",IF(J37&lt;&gt;"정상","비용 설정 필요",E37*M37))</f>
      </c>
      <c r="O37" s="12" t="str">
        <f>IF(J37="","",IF(J37&lt;&gt;"정상","비용 설정 필요",G37+L37+N37+H37))</f>
      </c>
      <c r="P37" s="13" t="str">
        <f>IF(J37="","",IF(J37&lt;&gt;"정상","비용 설정 필요",F37-O37))</f>
      </c>
      <c r="Q37" s="14" t="str">
        <f>IF(J37="","",IF(J37&lt;&gt;"정상","비용 설정 필요",IFERROR(P37/F37,0)))</f>
      </c>
    </row>
    <row r="38">
      <c r="B38" s="7"/>
      <c r="C38" s="5"/>
      <c r="D38" s="5"/>
      <c r="E38" s="8"/>
      <c r="F38" s="8"/>
      <c r="G38" s="8"/>
      <c r="H38" s="8"/>
      <c r="I38" s="6"/>
      <c r="J38" s="10" t="str">
        <f>IF(AND(B38="",C38="",D38=""),"",IF(OR(B38="",D38=""),"비용 설정 필요",IF(COUNTIFS('3_채널별_비용설정'!$C$6:$C$55,D38,'3_채널별_비용설정'!$D$6:$D$55,"&lt;="&amp;B38,'3_채널별_비용설정'!$L$6:$L$55,"&gt;="&amp;B38)=0,"비용 설정 필요",IF(COUNTIFS('3_채널별_비용설정'!$C$6:$C$55,D38,'3_채널별_비용설정'!$D$6:$D$55,"&lt;="&amp;B38,'3_채널별_비용설정'!$L$6:$L$55,"&gt;="&amp;B38)&gt;1,"기간 중복 확인","정상"))))</f>
      </c>
      <c r="K38" s="15" t="str">
        <f>IF(J38="","",IF(J38&lt;&gt;"정상","비용 설정 필요",SUMIFS('3_채널별_비용설정'!$F$6:$F$55,'3_채널별_비용설정'!$C$6:$C$55,D38,'3_채널별_비용설정'!$D$6:$D$55,"&lt;="&amp;B38,'3_채널별_비용설정'!$L$6:$L$55,"&gt;="&amp;B38)))</f>
      </c>
      <c r="L38" s="12" t="str">
        <f>IF(J38="","",IF(J38&lt;&gt;"정상","비용 설정 필요",ROUND(F38*K38,0)))</f>
      </c>
      <c r="M38" s="12" t="str">
        <f>IF(J38="","",IF(J38&lt;&gt;"정상","비용 설정 필요",SUMIFS('3_채널별_비용설정'!$J$6:$J$55,'3_채널별_비용설정'!$C$6:$C$55,D38,'3_채널별_비용설정'!$D$6:$D$55,"&lt;="&amp;B38,'3_채널별_비용설정'!$L$6:$L$55,"&gt;="&amp;B38)))</f>
      </c>
      <c r="N38" s="12" t="str">
        <f>IF(J38="","",IF(J38&lt;&gt;"정상","비용 설정 필요",E38*M38))</f>
      </c>
      <c r="O38" s="12" t="str">
        <f>IF(J38="","",IF(J38&lt;&gt;"정상","비용 설정 필요",G38+L38+N38+H38))</f>
      </c>
      <c r="P38" s="13" t="str">
        <f>IF(J38="","",IF(J38&lt;&gt;"정상","비용 설정 필요",F38-O38))</f>
      </c>
      <c r="Q38" s="14" t="str">
        <f>IF(J38="","",IF(J38&lt;&gt;"정상","비용 설정 필요",IFERROR(P38/F38,0)))</f>
      </c>
    </row>
    <row r="39">
      <c r="B39" s="7"/>
      <c r="C39" s="5"/>
      <c r="D39" s="5"/>
      <c r="E39" s="8"/>
      <c r="F39" s="8"/>
      <c r="G39" s="8"/>
      <c r="H39" s="8"/>
      <c r="I39" s="6"/>
      <c r="J39" s="10" t="str">
        <f>IF(AND(B39="",C39="",D39=""),"",IF(OR(B39="",D39=""),"비용 설정 필요",IF(COUNTIFS('3_채널별_비용설정'!$C$6:$C$55,D39,'3_채널별_비용설정'!$D$6:$D$55,"&lt;="&amp;B39,'3_채널별_비용설정'!$L$6:$L$55,"&gt;="&amp;B39)=0,"비용 설정 필요",IF(COUNTIFS('3_채널별_비용설정'!$C$6:$C$55,D39,'3_채널별_비용설정'!$D$6:$D$55,"&lt;="&amp;B39,'3_채널별_비용설정'!$L$6:$L$55,"&gt;="&amp;B39)&gt;1,"기간 중복 확인","정상"))))</f>
      </c>
      <c r="K39" s="15" t="str">
        <f>IF(J39="","",IF(J39&lt;&gt;"정상","비용 설정 필요",SUMIFS('3_채널별_비용설정'!$F$6:$F$55,'3_채널별_비용설정'!$C$6:$C$55,D39,'3_채널별_비용설정'!$D$6:$D$55,"&lt;="&amp;B39,'3_채널별_비용설정'!$L$6:$L$55,"&gt;="&amp;B39)))</f>
      </c>
      <c r="L39" s="12" t="str">
        <f>IF(J39="","",IF(J39&lt;&gt;"정상","비용 설정 필요",ROUND(F39*K39,0)))</f>
      </c>
      <c r="M39" s="12" t="str">
        <f>IF(J39="","",IF(J39&lt;&gt;"정상","비용 설정 필요",SUMIFS('3_채널별_비용설정'!$J$6:$J$55,'3_채널별_비용설정'!$C$6:$C$55,D39,'3_채널별_비용설정'!$D$6:$D$55,"&lt;="&amp;B39,'3_채널별_비용설정'!$L$6:$L$55,"&gt;="&amp;B39)))</f>
      </c>
      <c r="N39" s="12" t="str">
        <f>IF(J39="","",IF(J39&lt;&gt;"정상","비용 설정 필요",E39*M39))</f>
      </c>
      <c r="O39" s="12" t="str">
        <f>IF(J39="","",IF(J39&lt;&gt;"정상","비용 설정 필요",G39+L39+N39+H39))</f>
      </c>
      <c r="P39" s="13" t="str">
        <f>IF(J39="","",IF(J39&lt;&gt;"정상","비용 설정 필요",F39-O39))</f>
      </c>
      <c r="Q39" s="14" t="str">
        <f>IF(J39="","",IF(J39&lt;&gt;"정상","비용 설정 필요",IFERROR(P39/F39,0)))</f>
      </c>
    </row>
    <row r="40">
      <c r="B40" s="7"/>
      <c r="C40" s="5"/>
      <c r="D40" s="5"/>
      <c r="E40" s="8"/>
      <c r="F40" s="8"/>
      <c r="G40" s="8"/>
      <c r="H40" s="8"/>
      <c r="I40" s="6"/>
      <c r="J40" s="10" t="str">
        <f>IF(AND(B40="",C40="",D40=""),"",IF(OR(B40="",D40=""),"비용 설정 필요",IF(COUNTIFS('3_채널별_비용설정'!$C$6:$C$55,D40,'3_채널별_비용설정'!$D$6:$D$55,"&lt;="&amp;B40,'3_채널별_비용설정'!$L$6:$L$55,"&gt;="&amp;B40)=0,"비용 설정 필요",IF(COUNTIFS('3_채널별_비용설정'!$C$6:$C$55,D40,'3_채널별_비용설정'!$D$6:$D$55,"&lt;="&amp;B40,'3_채널별_비용설정'!$L$6:$L$55,"&gt;="&amp;B40)&gt;1,"기간 중복 확인","정상"))))</f>
      </c>
      <c r="K40" s="15" t="str">
        <f>IF(J40="","",IF(J40&lt;&gt;"정상","비용 설정 필요",SUMIFS('3_채널별_비용설정'!$F$6:$F$55,'3_채널별_비용설정'!$C$6:$C$55,D40,'3_채널별_비용설정'!$D$6:$D$55,"&lt;="&amp;B40,'3_채널별_비용설정'!$L$6:$L$55,"&gt;="&amp;B40)))</f>
      </c>
      <c r="L40" s="12" t="str">
        <f>IF(J40="","",IF(J40&lt;&gt;"정상","비용 설정 필요",ROUND(F40*K40,0)))</f>
      </c>
      <c r="M40" s="12" t="str">
        <f>IF(J40="","",IF(J40&lt;&gt;"정상","비용 설정 필요",SUMIFS('3_채널별_비용설정'!$J$6:$J$55,'3_채널별_비용설정'!$C$6:$C$55,D40,'3_채널별_비용설정'!$D$6:$D$55,"&lt;="&amp;B40,'3_채널별_비용설정'!$L$6:$L$55,"&gt;="&amp;B40)))</f>
      </c>
      <c r="N40" s="12" t="str">
        <f>IF(J40="","",IF(J40&lt;&gt;"정상","비용 설정 필요",E40*M40))</f>
      </c>
      <c r="O40" s="12" t="str">
        <f>IF(J40="","",IF(J40&lt;&gt;"정상","비용 설정 필요",G40+L40+N40+H40))</f>
      </c>
      <c r="P40" s="13" t="str">
        <f>IF(J40="","",IF(J40&lt;&gt;"정상","비용 설정 필요",F40-O40))</f>
      </c>
      <c r="Q40" s="14" t="str">
        <f>IF(J40="","",IF(J40&lt;&gt;"정상","비용 설정 필요",IFERROR(P40/F40,0)))</f>
      </c>
    </row>
    <row r="41">
      <c r="B41" s="7"/>
      <c r="C41" s="5"/>
      <c r="D41" s="5"/>
      <c r="E41" s="8"/>
      <c r="F41" s="8"/>
      <c r="G41" s="8"/>
      <c r="H41" s="8"/>
      <c r="I41" s="6"/>
      <c r="J41" s="10" t="str">
        <f>IF(AND(B41="",C41="",D41=""),"",IF(OR(B41="",D41=""),"비용 설정 필요",IF(COUNTIFS('3_채널별_비용설정'!$C$6:$C$55,D41,'3_채널별_비용설정'!$D$6:$D$55,"&lt;="&amp;B41,'3_채널별_비용설정'!$L$6:$L$55,"&gt;="&amp;B41)=0,"비용 설정 필요",IF(COUNTIFS('3_채널별_비용설정'!$C$6:$C$55,D41,'3_채널별_비용설정'!$D$6:$D$55,"&lt;="&amp;B41,'3_채널별_비용설정'!$L$6:$L$55,"&gt;="&amp;B41)&gt;1,"기간 중복 확인","정상"))))</f>
      </c>
      <c r="K41" s="15" t="str">
        <f>IF(J41="","",IF(J41&lt;&gt;"정상","비용 설정 필요",SUMIFS('3_채널별_비용설정'!$F$6:$F$55,'3_채널별_비용설정'!$C$6:$C$55,D41,'3_채널별_비용설정'!$D$6:$D$55,"&lt;="&amp;B41,'3_채널별_비용설정'!$L$6:$L$55,"&gt;="&amp;B41)))</f>
      </c>
      <c r="L41" s="12" t="str">
        <f>IF(J41="","",IF(J41&lt;&gt;"정상","비용 설정 필요",ROUND(F41*K41,0)))</f>
      </c>
      <c r="M41" s="12" t="str">
        <f>IF(J41="","",IF(J41&lt;&gt;"정상","비용 설정 필요",SUMIFS('3_채널별_비용설정'!$J$6:$J$55,'3_채널별_비용설정'!$C$6:$C$55,D41,'3_채널별_비용설정'!$D$6:$D$55,"&lt;="&amp;B41,'3_채널별_비용설정'!$L$6:$L$55,"&gt;="&amp;B41)))</f>
      </c>
      <c r="N41" s="12" t="str">
        <f>IF(J41="","",IF(J41&lt;&gt;"정상","비용 설정 필요",E41*M41))</f>
      </c>
      <c r="O41" s="12" t="str">
        <f>IF(J41="","",IF(J41&lt;&gt;"정상","비용 설정 필요",G41+L41+N41+H41))</f>
      </c>
      <c r="P41" s="13" t="str">
        <f>IF(J41="","",IF(J41&lt;&gt;"정상","비용 설정 필요",F41-O41))</f>
      </c>
      <c r="Q41" s="14" t="str">
        <f>IF(J41="","",IF(J41&lt;&gt;"정상","비용 설정 필요",IFERROR(P41/F41,0)))</f>
      </c>
    </row>
    <row r="42">
      <c r="B42" s="7"/>
      <c r="C42" s="5"/>
      <c r="D42" s="5"/>
      <c r="E42" s="8"/>
      <c r="F42" s="8"/>
      <c r="G42" s="8"/>
      <c r="H42" s="8"/>
      <c r="I42" s="6"/>
      <c r="J42" s="10" t="str">
        <f>IF(AND(B42="",C42="",D42=""),"",IF(OR(B42="",D42=""),"비용 설정 필요",IF(COUNTIFS('3_채널별_비용설정'!$C$6:$C$55,D42,'3_채널별_비용설정'!$D$6:$D$55,"&lt;="&amp;B42,'3_채널별_비용설정'!$L$6:$L$55,"&gt;="&amp;B42)=0,"비용 설정 필요",IF(COUNTIFS('3_채널별_비용설정'!$C$6:$C$55,D42,'3_채널별_비용설정'!$D$6:$D$55,"&lt;="&amp;B42,'3_채널별_비용설정'!$L$6:$L$55,"&gt;="&amp;B42)&gt;1,"기간 중복 확인","정상"))))</f>
      </c>
      <c r="K42" s="15" t="str">
        <f>IF(J42="","",IF(J42&lt;&gt;"정상","비용 설정 필요",SUMIFS('3_채널별_비용설정'!$F$6:$F$55,'3_채널별_비용설정'!$C$6:$C$55,D42,'3_채널별_비용설정'!$D$6:$D$55,"&lt;="&amp;B42,'3_채널별_비용설정'!$L$6:$L$55,"&gt;="&amp;B42)))</f>
      </c>
      <c r="L42" s="12" t="str">
        <f>IF(J42="","",IF(J42&lt;&gt;"정상","비용 설정 필요",ROUND(F42*K42,0)))</f>
      </c>
      <c r="M42" s="12" t="str">
        <f>IF(J42="","",IF(J42&lt;&gt;"정상","비용 설정 필요",SUMIFS('3_채널별_비용설정'!$J$6:$J$55,'3_채널별_비용설정'!$C$6:$C$55,D42,'3_채널별_비용설정'!$D$6:$D$55,"&lt;="&amp;B42,'3_채널별_비용설정'!$L$6:$L$55,"&gt;="&amp;B42)))</f>
      </c>
      <c r="N42" s="12" t="str">
        <f>IF(J42="","",IF(J42&lt;&gt;"정상","비용 설정 필요",E42*M42))</f>
      </c>
      <c r="O42" s="12" t="str">
        <f>IF(J42="","",IF(J42&lt;&gt;"정상","비용 설정 필요",G42+L42+N42+H42))</f>
      </c>
      <c r="P42" s="13" t="str">
        <f>IF(J42="","",IF(J42&lt;&gt;"정상","비용 설정 필요",F42-O42))</f>
      </c>
      <c r="Q42" s="14" t="str">
        <f>IF(J42="","",IF(J42&lt;&gt;"정상","비용 설정 필요",IFERROR(P42/F42,0)))</f>
      </c>
    </row>
    <row r="43">
      <c r="B43" s="7"/>
      <c r="C43" s="5"/>
      <c r="D43" s="5"/>
      <c r="E43" s="8"/>
      <c r="F43" s="8"/>
      <c r="G43" s="8"/>
      <c r="H43" s="8"/>
      <c r="I43" s="6"/>
      <c r="J43" s="10" t="str">
        <f>IF(AND(B43="",C43="",D43=""),"",IF(OR(B43="",D43=""),"비용 설정 필요",IF(COUNTIFS('3_채널별_비용설정'!$C$6:$C$55,D43,'3_채널별_비용설정'!$D$6:$D$55,"&lt;="&amp;B43,'3_채널별_비용설정'!$L$6:$L$55,"&gt;="&amp;B43)=0,"비용 설정 필요",IF(COUNTIFS('3_채널별_비용설정'!$C$6:$C$55,D43,'3_채널별_비용설정'!$D$6:$D$55,"&lt;="&amp;B43,'3_채널별_비용설정'!$L$6:$L$55,"&gt;="&amp;B43)&gt;1,"기간 중복 확인","정상"))))</f>
      </c>
      <c r="K43" s="15" t="str">
        <f>IF(J43="","",IF(J43&lt;&gt;"정상","비용 설정 필요",SUMIFS('3_채널별_비용설정'!$F$6:$F$55,'3_채널별_비용설정'!$C$6:$C$55,D43,'3_채널별_비용설정'!$D$6:$D$55,"&lt;="&amp;B43,'3_채널별_비용설정'!$L$6:$L$55,"&gt;="&amp;B43)))</f>
      </c>
      <c r="L43" s="12" t="str">
        <f>IF(J43="","",IF(J43&lt;&gt;"정상","비용 설정 필요",ROUND(F43*K43,0)))</f>
      </c>
      <c r="M43" s="12" t="str">
        <f>IF(J43="","",IF(J43&lt;&gt;"정상","비용 설정 필요",SUMIFS('3_채널별_비용설정'!$J$6:$J$55,'3_채널별_비용설정'!$C$6:$C$55,D43,'3_채널별_비용설정'!$D$6:$D$55,"&lt;="&amp;B43,'3_채널별_비용설정'!$L$6:$L$55,"&gt;="&amp;B43)))</f>
      </c>
      <c r="N43" s="12" t="str">
        <f>IF(J43="","",IF(J43&lt;&gt;"정상","비용 설정 필요",E43*M43))</f>
      </c>
      <c r="O43" s="12" t="str">
        <f>IF(J43="","",IF(J43&lt;&gt;"정상","비용 설정 필요",G43+L43+N43+H43))</f>
      </c>
      <c r="P43" s="13" t="str">
        <f>IF(J43="","",IF(J43&lt;&gt;"정상","비용 설정 필요",F43-O43))</f>
      </c>
      <c r="Q43" s="14" t="str">
        <f>IF(J43="","",IF(J43&lt;&gt;"정상","비용 설정 필요",IFERROR(P43/F43,0)))</f>
      </c>
    </row>
    <row r="44">
      <c r="B44" s="7"/>
      <c r="C44" s="5"/>
      <c r="D44" s="5"/>
      <c r="E44" s="8"/>
      <c r="F44" s="8"/>
      <c r="G44" s="8"/>
      <c r="H44" s="8"/>
      <c r="I44" s="6"/>
      <c r="J44" s="10" t="str">
        <f>IF(AND(B44="",C44="",D44=""),"",IF(OR(B44="",D44=""),"비용 설정 필요",IF(COUNTIFS('3_채널별_비용설정'!$C$6:$C$55,D44,'3_채널별_비용설정'!$D$6:$D$55,"&lt;="&amp;B44,'3_채널별_비용설정'!$L$6:$L$55,"&gt;="&amp;B44)=0,"비용 설정 필요",IF(COUNTIFS('3_채널별_비용설정'!$C$6:$C$55,D44,'3_채널별_비용설정'!$D$6:$D$55,"&lt;="&amp;B44,'3_채널별_비용설정'!$L$6:$L$55,"&gt;="&amp;B44)&gt;1,"기간 중복 확인","정상"))))</f>
      </c>
      <c r="K44" s="15" t="str">
        <f>IF(J44="","",IF(J44&lt;&gt;"정상","비용 설정 필요",SUMIFS('3_채널별_비용설정'!$F$6:$F$55,'3_채널별_비용설정'!$C$6:$C$55,D44,'3_채널별_비용설정'!$D$6:$D$55,"&lt;="&amp;B44,'3_채널별_비용설정'!$L$6:$L$55,"&gt;="&amp;B44)))</f>
      </c>
      <c r="L44" s="12" t="str">
        <f>IF(J44="","",IF(J44&lt;&gt;"정상","비용 설정 필요",ROUND(F44*K44,0)))</f>
      </c>
      <c r="M44" s="12" t="str">
        <f>IF(J44="","",IF(J44&lt;&gt;"정상","비용 설정 필요",SUMIFS('3_채널별_비용설정'!$J$6:$J$55,'3_채널별_비용설정'!$C$6:$C$55,D44,'3_채널별_비용설정'!$D$6:$D$55,"&lt;="&amp;B44,'3_채널별_비용설정'!$L$6:$L$55,"&gt;="&amp;B44)))</f>
      </c>
      <c r="N44" s="12" t="str">
        <f>IF(J44="","",IF(J44&lt;&gt;"정상","비용 설정 필요",E44*M44))</f>
      </c>
      <c r="O44" s="12" t="str">
        <f>IF(J44="","",IF(J44&lt;&gt;"정상","비용 설정 필요",G44+L44+N44+H44))</f>
      </c>
      <c r="P44" s="13" t="str">
        <f>IF(J44="","",IF(J44&lt;&gt;"정상","비용 설정 필요",F44-O44))</f>
      </c>
      <c r="Q44" s="14" t="str">
        <f>IF(J44="","",IF(J44&lt;&gt;"정상","비용 설정 필요",IFERROR(P44/F44,0)))</f>
      </c>
    </row>
    <row r="45">
      <c r="B45" s="7"/>
      <c r="C45" s="5"/>
      <c r="D45" s="5"/>
      <c r="E45" s="8"/>
      <c r="F45" s="8"/>
      <c r="G45" s="8"/>
      <c r="H45" s="8"/>
      <c r="I45" s="6"/>
      <c r="J45" s="10" t="str">
        <f>IF(AND(B45="",C45="",D45=""),"",IF(OR(B45="",D45=""),"비용 설정 필요",IF(COUNTIFS('3_채널별_비용설정'!$C$6:$C$55,D45,'3_채널별_비용설정'!$D$6:$D$55,"&lt;="&amp;B45,'3_채널별_비용설정'!$L$6:$L$55,"&gt;="&amp;B45)=0,"비용 설정 필요",IF(COUNTIFS('3_채널별_비용설정'!$C$6:$C$55,D45,'3_채널별_비용설정'!$D$6:$D$55,"&lt;="&amp;B45,'3_채널별_비용설정'!$L$6:$L$55,"&gt;="&amp;B45)&gt;1,"기간 중복 확인","정상"))))</f>
      </c>
      <c r="K45" s="15" t="str">
        <f>IF(J45="","",IF(J45&lt;&gt;"정상","비용 설정 필요",SUMIFS('3_채널별_비용설정'!$F$6:$F$55,'3_채널별_비용설정'!$C$6:$C$55,D45,'3_채널별_비용설정'!$D$6:$D$55,"&lt;="&amp;B45,'3_채널별_비용설정'!$L$6:$L$55,"&gt;="&amp;B45)))</f>
      </c>
      <c r="L45" s="12" t="str">
        <f>IF(J45="","",IF(J45&lt;&gt;"정상","비용 설정 필요",ROUND(F45*K45,0)))</f>
      </c>
      <c r="M45" s="12" t="str">
        <f>IF(J45="","",IF(J45&lt;&gt;"정상","비용 설정 필요",SUMIFS('3_채널별_비용설정'!$J$6:$J$55,'3_채널별_비용설정'!$C$6:$C$55,D45,'3_채널별_비용설정'!$D$6:$D$55,"&lt;="&amp;B45,'3_채널별_비용설정'!$L$6:$L$55,"&gt;="&amp;B45)))</f>
      </c>
      <c r="N45" s="12" t="str">
        <f>IF(J45="","",IF(J45&lt;&gt;"정상","비용 설정 필요",E45*M45))</f>
      </c>
      <c r="O45" s="12" t="str">
        <f>IF(J45="","",IF(J45&lt;&gt;"정상","비용 설정 필요",G45+L45+N45+H45))</f>
      </c>
      <c r="P45" s="13" t="str">
        <f>IF(J45="","",IF(J45&lt;&gt;"정상","비용 설정 필요",F45-O45))</f>
      </c>
      <c r="Q45" s="14" t="str">
        <f>IF(J45="","",IF(J45&lt;&gt;"정상","비용 설정 필요",IFERROR(P45/F45,0)))</f>
      </c>
    </row>
    <row r="46">
      <c r="B46" s="7"/>
      <c r="C46" s="5"/>
      <c r="D46" s="5"/>
      <c r="E46" s="8"/>
      <c r="F46" s="8"/>
      <c r="G46" s="8"/>
      <c r="H46" s="8"/>
      <c r="I46" s="6"/>
      <c r="J46" s="10" t="str">
        <f>IF(AND(B46="",C46="",D46=""),"",IF(OR(B46="",D46=""),"비용 설정 필요",IF(COUNTIFS('3_채널별_비용설정'!$C$6:$C$55,D46,'3_채널별_비용설정'!$D$6:$D$55,"&lt;="&amp;B46,'3_채널별_비용설정'!$L$6:$L$55,"&gt;="&amp;B46)=0,"비용 설정 필요",IF(COUNTIFS('3_채널별_비용설정'!$C$6:$C$55,D46,'3_채널별_비용설정'!$D$6:$D$55,"&lt;="&amp;B46,'3_채널별_비용설정'!$L$6:$L$55,"&gt;="&amp;B46)&gt;1,"기간 중복 확인","정상"))))</f>
      </c>
      <c r="K46" s="15" t="str">
        <f>IF(J46="","",IF(J46&lt;&gt;"정상","비용 설정 필요",SUMIFS('3_채널별_비용설정'!$F$6:$F$55,'3_채널별_비용설정'!$C$6:$C$55,D46,'3_채널별_비용설정'!$D$6:$D$55,"&lt;="&amp;B46,'3_채널별_비용설정'!$L$6:$L$55,"&gt;="&amp;B46)))</f>
      </c>
      <c r="L46" s="12" t="str">
        <f>IF(J46="","",IF(J46&lt;&gt;"정상","비용 설정 필요",ROUND(F46*K46,0)))</f>
      </c>
      <c r="M46" s="12" t="str">
        <f>IF(J46="","",IF(J46&lt;&gt;"정상","비용 설정 필요",SUMIFS('3_채널별_비용설정'!$J$6:$J$55,'3_채널별_비용설정'!$C$6:$C$55,D46,'3_채널별_비용설정'!$D$6:$D$55,"&lt;="&amp;B46,'3_채널별_비용설정'!$L$6:$L$55,"&gt;="&amp;B46)))</f>
      </c>
      <c r="N46" s="12" t="str">
        <f>IF(J46="","",IF(J46&lt;&gt;"정상","비용 설정 필요",E46*M46))</f>
      </c>
      <c r="O46" s="12" t="str">
        <f>IF(J46="","",IF(J46&lt;&gt;"정상","비용 설정 필요",G46+L46+N46+H46))</f>
      </c>
      <c r="P46" s="13" t="str">
        <f>IF(J46="","",IF(J46&lt;&gt;"정상","비용 설정 필요",F46-O46))</f>
      </c>
      <c r="Q46" s="14" t="str">
        <f>IF(J46="","",IF(J46&lt;&gt;"정상","비용 설정 필요",IFERROR(P46/F46,0)))</f>
      </c>
    </row>
    <row r="47">
      <c r="B47" s="7"/>
      <c r="C47" s="5"/>
      <c r="D47" s="5"/>
      <c r="E47" s="8"/>
      <c r="F47" s="8"/>
      <c r="G47" s="8"/>
      <c r="H47" s="8"/>
      <c r="I47" s="6"/>
      <c r="J47" s="10" t="str">
        <f>IF(AND(B47="",C47="",D47=""),"",IF(OR(B47="",D47=""),"비용 설정 필요",IF(COUNTIFS('3_채널별_비용설정'!$C$6:$C$55,D47,'3_채널별_비용설정'!$D$6:$D$55,"&lt;="&amp;B47,'3_채널별_비용설정'!$L$6:$L$55,"&gt;="&amp;B47)=0,"비용 설정 필요",IF(COUNTIFS('3_채널별_비용설정'!$C$6:$C$55,D47,'3_채널별_비용설정'!$D$6:$D$55,"&lt;="&amp;B47,'3_채널별_비용설정'!$L$6:$L$55,"&gt;="&amp;B47)&gt;1,"기간 중복 확인","정상"))))</f>
      </c>
      <c r="K47" s="15" t="str">
        <f>IF(J47="","",IF(J47&lt;&gt;"정상","비용 설정 필요",SUMIFS('3_채널별_비용설정'!$F$6:$F$55,'3_채널별_비용설정'!$C$6:$C$55,D47,'3_채널별_비용설정'!$D$6:$D$55,"&lt;="&amp;B47,'3_채널별_비용설정'!$L$6:$L$55,"&gt;="&amp;B47)))</f>
      </c>
      <c r="L47" s="12" t="str">
        <f>IF(J47="","",IF(J47&lt;&gt;"정상","비용 설정 필요",ROUND(F47*K47,0)))</f>
      </c>
      <c r="M47" s="12" t="str">
        <f>IF(J47="","",IF(J47&lt;&gt;"정상","비용 설정 필요",SUMIFS('3_채널별_비용설정'!$J$6:$J$55,'3_채널별_비용설정'!$C$6:$C$55,D47,'3_채널별_비용설정'!$D$6:$D$55,"&lt;="&amp;B47,'3_채널별_비용설정'!$L$6:$L$55,"&gt;="&amp;B47)))</f>
      </c>
      <c r="N47" s="12" t="str">
        <f>IF(J47="","",IF(J47&lt;&gt;"정상","비용 설정 필요",E47*M47))</f>
      </c>
      <c r="O47" s="12" t="str">
        <f>IF(J47="","",IF(J47&lt;&gt;"정상","비용 설정 필요",G47+L47+N47+H47))</f>
      </c>
      <c r="P47" s="13" t="str">
        <f>IF(J47="","",IF(J47&lt;&gt;"정상","비용 설정 필요",F47-O47))</f>
      </c>
      <c r="Q47" s="14" t="str">
        <f>IF(J47="","",IF(J47&lt;&gt;"정상","비용 설정 필요",IFERROR(P47/F47,0)))</f>
      </c>
    </row>
    <row r="48">
      <c r="B48" s="7"/>
      <c r="C48" s="5"/>
      <c r="D48" s="5"/>
      <c r="E48" s="8"/>
      <c r="F48" s="8"/>
      <c r="G48" s="8"/>
      <c r="H48" s="8"/>
      <c r="I48" s="6"/>
      <c r="J48" s="10" t="str">
        <f>IF(AND(B48="",C48="",D48=""),"",IF(OR(B48="",D48=""),"비용 설정 필요",IF(COUNTIFS('3_채널별_비용설정'!$C$6:$C$55,D48,'3_채널별_비용설정'!$D$6:$D$55,"&lt;="&amp;B48,'3_채널별_비용설정'!$L$6:$L$55,"&gt;="&amp;B48)=0,"비용 설정 필요",IF(COUNTIFS('3_채널별_비용설정'!$C$6:$C$55,D48,'3_채널별_비용설정'!$D$6:$D$55,"&lt;="&amp;B48,'3_채널별_비용설정'!$L$6:$L$55,"&gt;="&amp;B48)&gt;1,"기간 중복 확인","정상"))))</f>
      </c>
      <c r="K48" s="15" t="str">
        <f>IF(J48="","",IF(J48&lt;&gt;"정상","비용 설정 필요",SUMIFS('3_채널별_비용설정'!$F$6:$F$55,'3_채널별_비용설정'!$C$6:$C$55,D48,'3_채널별_비용설정'!$D$6:$D$55,"&lt;="&amp;B48,'3_채널별_비용설정'!$L$6:$L$55,"&gt;="&amp;B48)))</f>
      </c>
      <c r="L48" s="12" t="str">
        <f>IF(J48="","",IF(J48&lt;&gt;"정상","비용 설정 필요",ROUND(F48*K48,0)))</f>
      </c>
      <c r="M48" s="12" t="str">
        <f>IF(J48="","",IF(J48&lt;&gt;"정상","비용 설정 필요",SUMIFS('3_채널별_비용설정'!$J$6:$J$55,'3_채널별_비용설정'!$C$6:$C$55,D48,'3_채널별_비용설정'!$D$6:$D$55,"&lt;="&amp;B48,'3_채널별_비용설정'!$L$6:$L$55,"&gt;="&amp;B48)))</f>
      </c>
      <c r="N48" s="12" t="str">
        <f>IF(J48="","",IF(J48&lt;&gt;"정상","비용 설정 필요",E48*M48))</f>
      </c>
      <c r="O48" s="12" t="str">
        <f>IF(J48="","",IF(J48&lt;&gt;"정상","비용 설정 필요",G48+L48+N48+H48))</f>
      </c>
      <c r="P48" s="13" t="str">
        <f>IF(J48="","",IF(J48&lt;&gt;"정상","비용 설정 필요",F48-O48))</f>
      </c>
      <c r="Q48" s="14" t="str">
        <f>IF(J48="","",IF(J48&lt;&gt;"정상","비용 설정 필요",IFERROR(P48/F48,0)))</f>
      </c>
    </row>
    <row r="49">
      <c r="B49" s="7"/>
      <c r="C49" s="5"/>
      <c r="D49" s="5"/>
      <c r="E49" s="8"/>
      <c r="F49" s="8"/>
      <c r="G49" s="8"/>
      <c r="H49" s="8"/>
      <c r="I49" s="6"/>
      <c r="J49" s="10" t="str">
        <f>IF(AND(B49="",C49="",D49=""),"",IF(OR(B49="",D49=""),"비용 설정 필요",IF(COUNTIFS('3_채널별_비용설정'!$C$6:$C$55,D49,'3_채널별_비용설정'!$D$6:$D$55,"&lt;="&amp;B49,'3_채널별_비용설정'!$L$6:$L$55,"&gt;="&amp;B49)=0,"비용 설정 필요",IF(COUNTIFS('3_채널별_비용설정'!$C$6:$C$55,D49,'3_채널별_비용설정'!$D$6:$D$55,"&lt;="&amp;B49,'3_채널별_비용설정'!$L$6:$L$55,"&gt;="&amp;B49)&gt;1,"기간 중복 확인","정상"))))</f>
      </c>
      <c r="K49" s="15" t="str">
        <f>IF(J49="","",IF(J49&lt;&gt;"정상","비용 설정 필요",SUMIFS('3_채널별_비용설정'!$F$6:$F$55,'3_채널별_비용설정'!$C$6:$C$55,D49,'3_채널별_비용설정'!$D$6:$D$55,"&lt;="&amp;B49,'3_채널별_비용설정'!$L$6:$L$55,"&gt;="&amp;B49)))</f>
      </c>
      <c r="L49" s="12" t="str">
        <f>IF(J49="","",IF(J49&lt;&gt;"정상","비용 설정 필요",ROUND(F49*K49,0)))</f>
      </c>
      <c r="M49" s="12" t="str">
        <f>IF(J49="","",IF(J49&lt;&gt;"정상","비용 설정 필요",SUMIFS('3_채널별_비용설정'!$J$6:$J$55,'3_채널별_비용설정'!$C$6:$C$55,D49,'3_채널별_비용설정'!$D$6:$D$55,"&lt;="&amp;B49,'3_채널별_비용설정'!$L$6:$L$55,"&gt;="&amp;B49)))</f>
      </c>
      <c r="N49" s="12" t="str">
        <f>IF(J49="","",IF(J49&lt;&gt;"정상","비용 설정 필요",E49*M49))</f>
      </c>
      <c r="O49" s="12" t="str">
        <f>IF(J49="","",IF(J49&lt;&gt;"정상","비용 설정 필요",G49+L49+N49+H49))</f>
      </c>
      <c r="P49" s="13" t="str">
        <f>IF(J49="","",IF(J49&lt;&gt;"정상","비용 설정 필요",F49-O49))</f>
      </c>
      <c r="Q49" s="14" t="str">
        <f>IF(J49="","",IF(J49&lt;&gt;"정상","비용 설정 필요",IFERROR(P49/F49,0)))</f>
      </c>
    </row>
    <row r="50">
      <c r="B50" s="7"/>
      <c r="C50" s="5"/>
      <c r="D50" s="5"/>
      <c r="E50" s="8"/>
      <c r="F50" s="8"/>
      <c r="G50" s="8"/>
      <c r="H50" s="8"/>
      <c r="I50" s="6"/>
      <c r="J50" s="10" t="str">
        <f>IF(AND(B50="",C50="",D50=""),"",IF(OR(B50="",D50=""),"비용 설정 필요",IF(COUNTIFS('3_채널별_비용설정'!$C$6:$C$55,D50,'3_채널별_비용설정'!$D$6:$D$55,"&lt;="&amp;B50,'3_채널별_비용설정'!$L$6:$L$55,"&gt;="&amp;B50)=0,"비용 설정 필요",IF(COUNTIFS('3_채널별_비용설정'!$C$6:$C$55,D50,'3_채널별_비용설정'!$D$6:$D$55,"&lt;="&amp;B50,'3_채널별_비용설정'!$L$6:$L$55,"&gt;="&amp;B50)&gt;1,"기간 중복 확인","정상"))))</f>
      </c>
      <c r="K50" s="15" t="str">
        <f>IF(J50="","",IF(J50&lt;&gt;"정상","비용 설정 필요",SUMIFS('3_채널별_비용설정'!$F$6:$F$55,'3_채널별_비용설정'!$C$6:$C$55,D50,'3_채널별_비용설정'!$D$6:$D$55,"&lt;="&amp;B50,'3_채널별_비용설정'!$L$6:$L$55,"&gt;="&amp;B50)))</f>
      </c>
      <c r="L50" s="12" t="str">
        <f>IF(J50="","",IF(J50&lt;&gt;"정상","비용 설정 필요",ROUND(F50*K50,0)))</f>
      </c>
      <c r="M50" s="12" t="str">
        <f>IF(J50="","",IF(J50&lt;&gt;"정상","비용 설정 필요",SUMIFS('3_채널별_비용설정'!$J$6:$J$55,'3_채널별_비용설정'!$C$6:$C$55,D50,'3_채널별_비용설정'!$D$6:$D$55,"&lt;="&amp;B50,'3_채널별_비용설정'!$L$6:$L$55,"&gt;="&amp;B50)))</f>
      </c>
      <c r="N50" s="12" t="str">
        <f>IF(J50="","",IF(J50&lt;&gt;"정상","비용 설정 필요",E50*M50))</f>
      </c>
      <c r="O50" s="12" t="str">
        <f>IF(J50="","",IF(J50&lt;&gt;"정상","비용 설정 필요",G50+L50+N50+H50))</f>
      </c>
      <c r="P50" s="13" t="str">
        <f>IF(J50="","",IF(J50&lt;&gt;"정상","비용 설정 필요",F50-O50))</f>
      </c>
      <c r="Q50" s="14" t="str">
        <f>IF(J50="","",IF(J50&lt;&gt;"정상","비용 설정 필요",IFERROR(P50/F50,0)))</f>
      </c>
    </row>
    <row r="51">
      <c r="B51" s="7"/>
      <c r="C51" s="5"/>
      <c r="D51" s="5"/>
      <c r="E51" s="8"/>
      <c r="F51" s="8"/>
      <c r="G51" s="8"/>
      <c r="H51" s="8"/>
      <c r="I51" s="6"/>
      <c r="J51" s="10" t="str">
        <f>IF(AND(B51="",C51="",D51=""),"",IF(OR(B51="",D51=""),"비용 설정 필요",IF(COUNTIFS('3_채널별_비용설정'!$C$6:$C$55,D51,'3_채널별_비용설정'!$D$6:$D$55,"&lt;="&amp;B51,'3_채널별_비용설정'!$L$6:$L$55,"&gt;="&amp;B51)=0,"비용 설정 필요",IF(COUNTIFS('3_채널별_비용설정'!$C$6:$C$55,D51,'3_채널별_비용설정'!$D$6:$D$55,"&lt;="&amp;B51,'3_채널별_비용설정'!$L$6:$L$55,"&gt;="&amp;B51)&gt;1,"기간 중복 확인","정상"))))</f>
      </c>
      <c r="K51" s="15" t="str">
        <f>IF(J51="","",IF(J51&lt;&gt;"정상","비용 설정 필요",SUMIFS('3_채널별_비용설정'!$F$6:$F$55,'3_채널별_비용설정'!$C$6:$C$55,D51,'3_채널별_비용설정'!$D$6:$D$55,"&lt;="&amp;B51,'3_채널별_비용설정'!$L$6:$L$55,"&gt;="&amp;B51)))</f>
      </c>
      <c r="L51" s="12" t="str">
        <f>IF(J51="","",IF(J51&lt;&gt;"정상","비용 설정 필요",ROUND(F51*K51,0)))</f>
      </c>
      <c r="M51" s="12" t="str">
        <f>IF(J51="","",IF(J51&lt;&gt;"정상","비용 설정 필요",SUMIFS('3_채널별_비용설정'!$J$6:$J$55,'3_채널별_비용설정'!$C$6:$C$55,D51,'3_채널별_비용설정'!$D$6:$D$55,"&lt;="&amp;B51,'3_채널별_비용설정'!$L$6:$L$55,"&gt;="&amp;B51)))</f>
      </c>
      <c r="N51" s="12" t="str">
        <f>IF(J51="","",IF(J51&lt;&gt;"정상","비용 설정 필요",E51*M51))</f>
      </c>
      <c r="O51" s="12" t="str">
        <f>IF(J51="","",IF(J51&lt;&gt;"정상","비용 설정 필요",G51+L51+N51+H51))</f>
      </c>
      <c r="P51" s="13" t="str">
        <f>IF(J51="","",IF(J51&lt;&gt;"정상","비용 설정 필요",F51-O51))</f>
      </c>
      <c r="Q51" s="14" t="str">
        <f>IF(J51="","",IF(J51&lt;&gt;"정상","비용 설정 필요",IFERROR(P51/F51,0)))</f>
      </c>
    </row>
    <row r="52">
      <c r="B52" s="7"/>
      <c r="C52" s="5"/>
      <c r="D52" s="5"/>
      <c r="E52" s="8"/>
      <c r="F52" s="8"/>
      <c r="G52" s="8"/>
      <c r="H52" s="8"/>
      <c r="I52" s="6"/>
      <c r="J52" s="10" t="str">
        <f>IF(AND(B52="",C52="",D52=""),"",IF(OR(B52="",D52=""),"비용 설정 필요",IF(COUNTIFS('3_채널별_비용설정'!$C$6:$C$55,D52,'3_채널별_비용설정'!$D$6:$D$55,"&lt;="&amp;B52,'3_채널별_비용설정'!$L$6:$L$55,"&gt;="&amp;B52)=0,"비용 설정 필요",IF(COUNTIFS('3_채널별_비용설정'!$C$6:$C$55,D52,'3_채널별_비용설정'!$D$6:$D$55,"&lt;="&amp;B52,'3_채널별_비용설정'!$L$6:$L$55,"&gt;="&amp;B52)&gt;1,"기간 중복 확인","정상"))))</f>
      </c>
      <c r="K52" s="15" t="str">
        <f>IF(J52="","",IF(J52&lt;&gt;"정상","비용 설정 필요",SUMIFS('3_채널별_비용설정'!$F$6:$F$55,'3_채널별_비용설정'!$C$6:$C$55,D52,'3_채널별_비용설정'!$D$6:$D$55,"&lt;="&amp;B52,'3_채널별_비용설정'!$L$6:$L$55,"&gt;="&amp;B52)))</f>
      </c>
      <c r="L52" s="12" t="str">
        <f>IF(J52="","",IF(J52&lt;&gt;"정상","비용 설정 필요",ROUND(F52*K52,0)))</f>
      </c>
      <c r="M52" s="12" t="str">
        <f>IF(J52="","",IF(J52&lt;&gt;"정상","비용 설정 필요",SUMIFS('3_채널별_비용설정'!$J$6:$J$55,'3_채널별_비용설정'!$C$6:$C$55,D52,'3_채널별_비용설정'!$D$6:$D$55,"&lt;="&amp;B52,'3_채널별_비용설정'!$L$6:$L$55,"&gt;="&amp;B52)))</f>
      </c>
      <c r="N52" s="12" t="str">
        <f>IF(J52="","",IF(J52&lt;&gt;"정상","비용 설정 필요",E52*M52))</f>
      </c>
      <c r="O52" s="12" t="str">
        <f>IF(J52="","",IF(J52&lt;&gt;"정상","비용 설정 필요",G52+L52+N52+H52))</f>
      </c>
      <c r="P52" s="13" t="str">
        <f>IF(J52="","",IF(J52&lt;&gt;"정상","비용 설정 필요",F52-O52))</f>
      </c>
      <c r="Q52" s="14" t="str">
        <f>IF(J52="","",IF(J52&lt;&gt;"정상","비용 설정 필요",IFERROR(P52/F52,0)))</f>
      </c>
    </row>
    <row r="53">
      <c r="B53" s="7"/>
      <c r="C53" s="5"/>
      <c r="D53" s="5"/>
      <c r="E53" s="8"/>
      <c r="F53" s="8"/>
      <c r="G53" s="8"/>
      <c r="H53" s="8"/>
      <c r="I53" s="6"/>
      <c r="J53" s="10" t="str">
        <f>IF(AND(B53="",C53="",D53=""),"",IF(OR(B53="",D53=""),"비용 설정 필요",IF(COUNTIFS('3_채널별_비용설정'!$C$6:$C$55,D53,'3_채널별_비용설정'!$D$6:$D$55,"&lt;="&amp;B53,'3_채널별_비용설정'!$L$6:$L$55,"&gt;="&amp;B53)=0,"비용 설정 필요",IF(COUNTIFS('3_채널별_비용설정'!$C$6:$C$55,D53,'3_채널별_비용설정'!$D$6:$D$55,"&lt;="&amp;B53,'3_채널별_비용설정'!$L$6:$L$55,"&gt;="&amp;B53)&gt;1,"기간 중복 확인","정상"))))</f>
      </c>
      <c r="K53" s="15" t="str">
        <f>IF(J53="","",IF(J53&lt;&gt;"정상","비용 설정 필요",SUMIFS('3_채널별_비용설정'!$F$6:$F$55,'3_채널별_비용설정'!$C$6:$C$55,D53,'3_채널별_비용설정'!$D$6:$D$55,"&lt;="&amp;B53,'3_채널별_비용설정'!$L$6:$L$55,"&gt;="&amp;B53)))</f>
      </c>
      <c r="L53" s="12" t="str">
        <f>IF(J53="","",IF(J53&lt;&gt;"정상","비용 설정 필요",ROUND(F53*K53,0)))</f>
      </c>
      <c r="M53" s="12" t="str">
        <f>IF(J53="","",IF(J53&lt;&gt;"정상","비용 설정 필요",SUMIFS('3_채널별_비용설정'!$J$6:$J$55,'3_채널별_비용설정'!$C$6:$C$55,D53,'3_채널별_비용설정'!$D$6:$D$55,"&lt;="&amp;B53,'3_채널별_비용설정'!$L$6:$L$55,"&gt;="&amp;B53)))</f>
      </c>
      <c r="N53" s="12" t="str">
        <f>IF(J53="","",IF(J53&lt;&gt;"정상","비용 설정 필요",E53*M53))</f>
      </c>
      <c r="O53" s="12" t="str">
        <f>IF(J53="","",IF(J53&lt;&gt;"정상","비용 설정 필요",G53+L53+N53+H53))</f>
      </c>
      <c r="P53" s="13" t="str">
        <f>IF(J53="","",IF(J53&lt;&gt;"정상","비용 설정 필요",F53-O53))</f>
      </c>
      <c r="Q53" s="14" t="str">
        <f>IF(J53="","",IF(J53&lt;&gt;"정상","비용 설정 필요",IFERROR(P53/F53,0)))</f>
      </c>
    </row>
    <row r="54">
      <c r="B54" s="7"/>
      <c r="C54" s="5"/>
      <c r="D54" s="5"/>
      <c r="E54" s="8"/>
      <c r="F54" s="8"/>
      <c r="G54" s="8"/>
      <c r="H54" s="8"/>
      <c r="I54" s="6"/>
      <c r="J54" s="10" t="str">
        <f>IF(AND(B54="",C54="",D54=""),"",IF(OR(B54="",D54=""),"비용 설정 필요",IF(COUNTIFS('3_채널별_비용설정'!$C$6:$C$55,D54,'3_채널별_비용설정'!$D$6:$D$55,"&lt;="&amp;B54,'3_채널별_비용설정'!$L$6:$L$55,"&gt;="&amp;B54)=0,"비용 설정 필요",IF(COUNTIFS('3_채널별_비용설정'!$C$6:$C$55,D54,'3_채널별_비용설정'!$D$6:$D$55,"&lt;="&amp;B54,'3_채널별_비용설정'!$L$6:$L$55,"&gt;="&amp;B54)&gt;1,"기간 중복 확인","정상"))))</f>
      </c>
      <c r="K54" s="15" t="str">
        <f>IF(J54="","",IF(J54&lt;&gt;"정상","비용 설정 필요",SUMIFS('3_채널별_비용설정'!$F$6:$F$55,'3_채널별_비용설정'!$C$6:$C$55,D54,'3_채널별_비용설정'!$D$6:$D$55,"&lt;="&amp;B54,'3_채널별_비용설정'!$L$6:$L$55,"&gt;="&amp;B54)))</f>
      </c>
      <c r="L54" s="12" t="str">
        <f>IF(J54="","",IF(J54&lt;&gt;"정상","비용 설정 필요",ROUND(F54*K54,0)))</f>
      </c>
      <c r="M54" s="12" t="str">
        <f>IF(J54="","",IF(J54&lt;&gt;"정상","비용 설정 필요",SUMIFS('3_채널별_비용설정'!$J$6:$J$55,'3_채널별_비용설정'!$C$6:$C$55,D54,'3_채널별_비용설정'!$D$6:$D$55,"&lt;="&amp;B54,'3_채널별_비용설정'!$L$6:$L$55,"&gt;="&amp;B54)))</f>
      </c>
      <c r="N54" s="12" t="str">
        <f>IF(J54="","",IF(J54&lt;&gt;"정상","비용 설정 필요",E54*M54))</f>
      </c>
      <c r="O54" s="12" t="str">
        <f>IF(J54="","",IF(J54&lt;&gt;"정상","비용 설정 필요",G54+L54+N54+H54))</f>
      </c>
      <c r="P54" s="13" t="str">
        <f>IF(J54="","",IF(J54&lt;&gt;"정상","비용 설정 필요",F54-O54))</f>
      </c>
      <c r="Q54" s="14" t="str">
        <f>IF(J54="","",IF(J54&lt;&gt;"정상","비용 설정 필요",IFERROR(P54/F54,0)))</f>
      </c>
    </row>
    <row r="55">
      <c r="B55" s="7"/>
      <c r="C55" s="5"/>
      <c r="D55" s="5"/>
      <c r="E55" s="8"/>
      <c r="F55" s="8"/>
      <c r="G55" s="8"/>
      <c r="H55" s="8"/>
      <c r="I55" s="6"/>
      <c r="J55" s="10" t="str">
        <f>IF(AND(B55="",C55="",D55=""),"",IF(OR(B55="",D55=""),"비용 설정 필요",IF(COUNTIFS('3_채널별_비용설정'!$C$6:$C$55,D55,'3_채널별_비용설정'!$D$6:$D$55,"&lt;="&amp;B55,'3_채널별_비용설정'!$L$6:$L$55,"&gt;="&amp;B55)=0,"비용 설정 필요",IF(COUNTIFS('3_채널별_비용설정'!$C$6:$C$55,D55,'3_채널별_비용설정'!$D$6:$D$55,"&lt;="&amp;B55,'3_채널별_비용설정'!$L$6:$L$55,"&gt;="&amp;B55)&gt;1,"기간 중복 확인","정상"))))</f>
      </c>
      <c r="K55" s="15" t="str">
        <f>IF(J55="","",IF(J55&lt;&gt;"정상","비용 설정 필요",SUMIFS('3_채널별_비용설정'!$F$6:$F$55,'3_채널별_비용설정'!$C$6:$C$55,D55,'3_채널별_비용설정'!$D$6:$D$55,"&lt;="&amp;B55,'3_채널별_비용설정'!$L$6:$L$55,"&gt;="&amp;B55)))</f>
      </c>
      <c r="L55" s="12" t="str">
        <f>IF(J55="","",IF(J55&lt;&gt;"정상","비용 설정 필요",ROUND(F55*K55,0)))</f>
      </c>
      <c r="M55" s="12" t="str">
        <f>IF(J55="","",IF(J55&lt;&gt;"정상","비용 설정 필요",SUMIFS('3_채널별_비용설정'!$J$6:$J$55,'3_채널별_비용설정'!$C$6:$C$55,D55,'3_채널별_비용설정'!$D$6:$D$55,"&lt;="&amp;B55,'3_채널별_비용설정'!$L$6:$L$55,"&gt;="&amp;B55)))</f>
      </c>
      <c r="N55" s="12" t="str">
        <f>IF(J55="","",IF(J55&lt;&gt;"정상","비용 설정 필요",E55*M55))</f>
      </c>
      <c r="O55" s="12" t="str">
        <f>IF(J55="","",IF(J55&lt;&gt;"정상","비용 설정 필요",G55+L55+N55+H55))</f>
      </c>
      <c r="P55" s="13" t="str">
        <f>IF(J55="","",IF(J55&lt;&gt;"정상","비용 설정 필요",F55-O55))</f>
      </c>
      <c r="Q55" s="14" t="str">
        <f>IF(J55="","",IF(J55&lt;&gt;"정상","비용 설정 필요",IFERROR(P55/F55,0)))</f>
      </c>
    </row>
    <row r="56">
      <c r="B56" s="7"/>
      <c r="C56" s="5"/>
      <c r="D56" s="5"/>
      <c r="E56" s="8"/>
      <c r="F56" s="8"/>
      <c r="G56" s="8"/>
      <c r="H56" s="8"/>
      <c r="I56" s="6"/>
      <c r="J56" s="10" t="str">
        <f>IF(AND(B56="",C56="",D56=""),"",IF(OR(B56="",D56=""),"비용 설정 필요",IF(COUNTIFS('3_채널별_비용설정'!$C$6:$C$55,D56,'3_채널별_비용설정'!$D$6:$D$55,"&lt;="&amp;B56,'3_채널별_비용설정'!$L$6:$L$55,"&gt;="&amp;B56)=0,"비용 설정 필요",IF(COUNTIFS('3_채널별_비용설정'!$C$6:$C$55,D56,'3_채널별_비용설정'!$D$6:$D$55,"&lt;="&amp;B56,'3_채널별_비용설정'!$L$6:$L$55,"&gt;="&amp;B56)&gt;1,"기간 중복 확인","정상"))))</f>
      </c>
      <c r="K56" s="15" t="str">
        <f>IF(J56="","",IF(J56&lt;&gt;"정상","비용 설정 필요",SUMIFS('3_채널별_비용설정'!$F$6:$F$55,'3_채널별_비용설정'!$C$6:$C$55,D56,'3_채널별_비용설정'!$D$6:$D$55,"&lt;="&amp;B56,'3_채널별_비용설정'!$L$6:$L$55,"&gt;="&amp;B56)))</f>
      </c>
      <c r="L56" s="12" t="str">
        <f>IF(J56="","",IF(J56&lt;&gt;"정상","비용 설정 필요",ROUND(F56*K56,0)))</f>
      </c>
      <c r="M56" s="12" t="str">
        <f>IF(J56="","",IF(J56&lt;&gt;"정상","비용 설정 필요",SUMIFS('3_채널별_비용설정'!$J$6:$J$55,'3_채널별_비용설정'!$C$6:$C$55,D56,'3_채널별_비용설정'!$D$6:$D$55,"&lt;="&amp;B56,'3_채널별_비용설정'!$L$6:$L$55,"&gt;="&amp;B56)))</f>
      </c>
      <c r="N56" s="12" t="str">
        <f>IF(J56="","",IF(J56&lt;&gt;"정상","비용 설정 필요",E56*M56))</f>
      </c>
      <c r="O56" s="12" t="str">
        <f>IF(J56="","",IF(J56&lt;&gt;"정상","비용 설정 필요",G56+L56+N56+H56))</f>
      </c>
      <c r="P56" s="13" t="str">
        <f>IF(J56="","",IF(J56&lt;&gt;"정상","비용 설정 필요",F56-O56))</f>
      </c>
      <c r="Q56" s="14" t="str">
        <f>IF(J56="","",IF(J56&lt;&gt;"정상","비용 설정 필요",IFERROR(P56/F56,0)))</f>
      </c>
    </row>
    <row r="57">
      <c r="B57" s="7"/>
      <c r="C57" s="5"/>
      <c r="D57" s="5"/>
      <c r="E57" s="8"/>
      <c r="F57" s="8"/>
      <c r="G57" s="8"/>
      <c r="H57" s="8"/>
      <c r="I57" s="6"/>
      <c r="J57" s="10" t="str">
        <f>IF(AND(B57="",C57="",D57=""),"",IF(OR(B57="",D57=""),"비용 설정 필요",IF(COUNTIFS('3_채널별_비용설정'!$C$6:$C$55,D57,'3_채널별_비용설정'!$D$6:$D$55,"&lt;="&amp;B57,'3_채널별_비용설정'!$L$6:$L$55,"&gt;="&amp;B57)=0,"비용 설정 필요",IF(COUNTIFS('3_채널별_비용설정'!$C$6:$C$55,D57,'3_채널별_비용설정'!$D$6:$D$55,"&lt;="&amp;B57,'3_채널별_비용설정'!$L$6:$L$55,"&gt;="&amp;B57)&gt;1,"기간 중복 확인","정상"))))</f>
      </c>
      <c r="K57" s="15" t="str">
        <f>IF(J57="","",IF(J57&lt;&gt;"정상","비용 설정 필요",SUMIFS('3_채널별_비용설정'!$F$6:$F$55,'3_채널별_비용설정'!$C$6:$C$55,D57,'3_채널별_비용설정'!$D$6:$D$55,"&lt;="&amp;B57,'3_채널별_비용설정'!$L$6:$L$55,"&gt;="&amp;B57)))</f>
      </c>
      <c r="L57" s="12" t="str">
        <f>IF(J57="","",IF(J57&lt;&gt;"정상","비용 설정 필요",ROUND(F57*K57,0)))</f>
      </c>
      <c r="M57" s="12" t="str">
        <f>IF(J57="","",IF(J57&lt;&gt;"정상","비용 설정 필요",SUMIFS('3_채널별_비용설정'!$J$6:$J$55,'3_채널별_비용설정'!$C$6:$C$55,D57,'3_채널별_비용설정'!$D$6:$D$55,"&lt;="&amp;B57,'3_채널별_비용설정'!$L$6:$L$55,"&gt;="&amp;B57)))</f>
      </c>
      <c r="N57" s="12" t="str">
        <f>IF(J57="","",IF(J57&lt;&gt;"정상","비용 설정 필요",E57*M57))</f>
      </c>
      <c r="O57" s="12" t="str">
        <f>IF(J57="","",IF(J57&lt;&gt;"정상","비용 설정 필요",G57+L57+N57+H57))</f>
      </c>
      <c r="P57" s="13" t="str">
        <f>IF(J57="","",IF(J57&lt;&gt;"정상","비용 설정 필요",F57-O57))</f>
      </c>
      <c r="Q57" s="14" t="str">
        <f>IF(J57="","",IF(J57&lt;&gt;"정상","비용 설정 필요",IFERROR(P57/F57,0)))</f>
      </c>
    </row>
    <row r="58">
      <c r="B58" s="7"/>
      <c r="C58" s="5"/>
      <c r="D58" s="5"/>
      <c r="E58" s="8"/>
      <c r="F58" s="8"/>
      <c r="G58" s="8"/>
      <c r="H58" s="8"/>
      <c r="I58" s="6"/>
      <c r="J58" s="10" t="str">
        <f>IF(AND(B58="",C58="",D58=""),"",IF(OR(B58="",D58=""),"비용 설정 필요",IF(COUNTIFS('3_채널별_비용설정'!$C$6:$C$55,D58,'3_채널별_비용설정'!$D$6:$D$55,"&lt;="&amp;B58,'3_채널별_비용설정'!$L$6:$L$55,"&gt;="&amp;B58)=0,"비용 설정 필요",IF(COUNTIFS('3_채널별_비용설정'!$C$6:$C$55,D58,'3_채널별_비용설정'!$D$6:$D$55,"&lt;="&amp;B58,'3_채널별_비용설정'!$L$6:$L$55,"&gt;="&amp;B58)&gt;1,"기간 중복 확인","정상"))))</f>
      </c>
      <c r="K58" s="15" t="str">
        <f>IF(J58="","",IF(J58&lt;&gt;"정상","비용 설정 필요",SUMIFS('3_채널별_비용설정'!$F$6:$F$55,'3_채널별_비용설정'!$C$6:$C$55,D58,'3_채널별_비용설정'!$D$6:$D$55,"&lt;="&amp;B58,'3_채널별_비용설정'!$L$6:$L$55,"&gt;="&amp;B58)))</f>
      </c>
      <c r="L58" s="12" t="str">
        <f>IF(J58="","",IF(J58&lt;&gt;"정상","비용 설정 필요",ROUND(F58*K58,0)))</f>
      </c>
      <c r="M58" s="12" t="str">
        <f>IF(J58="","",IF(J58&lt;&gt;"정상","비용 설정 필요",SUMIFS('3_채널별_비용설정'!$J$6:$J$55,'3_채널별_비용설정'!$C$6:$C$55,D58,'3_채널별_비용설정'!$D$6:$D$55,"&lt;="&amp;B58,'3_채널별_비용설정'!$L$6:$L$55,"&gt;="&amp;B58)))</f>
      </c>
      <c r="N58" s="12" t="str">
        <f>IF(J58="","",IF(J58&lt;&gt;"정상","비용 설정 필요",E58*M58))</f>
      </c>
      <c r="O58" s="12" t="str">
        <f>IF(J58="","",IF(J58&lt;&gt;"정상","비용 설정 필요",G58+L58+N58+H58))</f>
      </c>
      <c r="P58" s="13" t="str">
        <f>IF(J58="","",IF(J58&lt;&gt;"정상","비용 설정 필요",F58-O58))</f>
      </c>
      <c r="Q58" s="14" t="str">
        <f>IF(J58="","",IF(J58&lt;&gt;"정상","비용 설정 필요",IFERROR(P58/F58,0)))</f>
      </c>
    </row>
    <row r="59">
      <c r="B59" s="7"/>
      <c r="C59" s="5"/>
      <c r="D59" s="5"/>
      <c r="E59" s="8"/>
      <c r="F59" s="8"/>
      <c r="G59" s="8"/>
      <c r="H59" s="8"/>
      <c r="I59" s="6"/>
      <c r="J59" s="10" t="str">
        <f>IF(AND(B59="",C59="",D59=""),"",IF(OR(B59="",D59=""),"비용 설정 필요",IF(COUNTIFS('3_채널별_비용설정'!$C$6:$C$55,D59,'3_채널별_비용설정'!$D$6:$D$55,"&lt;="&amp;B59,'3_채널별_비용설정'!$L$6:$L$55,"&gt;="&amp;B59)=0,"비용 설정 필요",IF(COUNTIFS('3_채널별_비용설정'!$C$6:$C$55,D59,'3_채널별_비용설정'!$D$6:$D$55,"&lt;="&amp;B59,'3_채널별_비용설정'!$L$6:$L$55,"&gt;="&amp;B59)&gt;1,"기간 중복 확인","정상"))))</f>
      </c>
      <c r="K59" s="15" t="str">
        <f>IF(J59="","",IF(J59&lt;&gt;"정상","비용 설정 필요",SUMIFS('3_채널별_비용설정'!$F$6:$F$55,'3_채널별_비용설정'!$C$6:$C$55,D59,'3_채널별_비용설정'!$D$6:$D$55,"&lt;="&amp;B59,'3_채널별_비용설정'!$L$6:$L$55,"&gt;="&amp;B59)))</f>
      </c>
      <c r="L59" s="12" t="str">
        <f>IF(J59="","",IF(J59&lt;&gt;"정상","비용 설정 필요",ROUND(F59*K59,0)))</f>
      </c>
      <c r="M59" s="12" t="str">
        <f>IF(J59="","",IF(J59&lt;&gt;"정상","비용 설정 필요",SUMIFS('3_채널별_비용설정'!$J$6:$J$55,'3_채널별_비용설정'!$C$6:$C$55,D59,'3_채널별_비용설정'!$D$6:$D$55,"&lt;="&amp;B59,'3_채널별_비용설정'!$L$6:$L$55,"&gt;="&amp;B59)))</f>
      </c>
      <c r="N59" s="12" t="str">
        <f>IF(J59="","",IF(J59&lt;&gt;"정상","비용 설정 필요",E59*M59))</f>
      </c>
      <c r="O59" s="12" t="str">
        <f>IF(J59="","",IF(J59&lt;&gt;"정상","비용 설정 필요",G59+L59+N59+H59))</f>
      </c>
      <c r="P59" s="13" t="str">
        <f>IF(J59="","",IF(J59&lt;&gt;"정상","비용 설정 필요",F59-O59))</f>
      </c>
      <c r="Q59" s="14" t="str">
        <f>IF(J59="","",IF(J59&lt;&gt;"정상","비용 설정 필요",IFERROR(P59/F59,0)))</f>
      </c>
    </row>
    <row r="60">
      <c r="B60" s="7"/>
      <c r="C60" s="5"/>
      <c r="D60" s="5"/>
      <c r="E60" s="8"/>
      <c r="F60" s="8"/>
      <c r="G60" s="8"/>
      <c r="H60" s="8"/>
      <c r="I60" s="6"/>
      <c r="J60" s="10" t="str">
        <f>IF(AND(B60="",C60="",D60=""),"",IF(OR(B60="",D60=""),"비용 설정 필요",IF(COUNTIFS('3_채널별_비용설정'!$C$6:$C$55,D60,'3_채널별_비용설정'!$D$6:$D$55,"&lt;="&amp;B60,'3_채널별_비용설정'!$L$6:$L$55,"&gt;="&amp;B60)=0,"비용 설정 필요",IF(COUNTIFS('3_채널별_비용설정'!$C$6:$C$55,D60,'3_채널별_비용설정'!$D$6:$D$55,"&lt;="&amp;B60,'3_채널별_비용설정'!$L$6:$L$55,"&gt;="&amp;B60)&gt;1,"기간 중복 확인","정상"))))</f>
      </c>
      <c r="K60" s="15" t="str">
        <f>IF(J60="","",IF(J60&lt;&gt;"정상","비용 설정 필요",SUMIFS('3_채널별_비용설정'!$F$6:$F$55,'3_채널별_비용설정'!$C$6:$C$55,D60,'3_채널별_비용설정'!$D$6:$D$55,"&lt;="&amp;B60,'3_채널별_비용설정'!$L$6:$L$55,"&gt;="&amp;B60)))</f>
      </c>
      <c r="L60" s="12" t="str">
        <f>IF(J60="","",IF(J60&lt;&gt;"정상","비용 설정 필요",ROUND(F60*K60,0)))</f>
      </c>
      <c r="M60" s="12" t="str">
        <f>IF(J60="","",IF(J60&lt;&gt;"정상","비용 설정 필요",SUMIFS('3_채널별_비용설정'!$J$6:$J$55,'3_채널별_비용설정'!$C$6:$C$55,D60,'3_채널별_비용설정'!$D$6:$D$55,"&lt;="&amp;B60,'3_채널별_비용설정'!$L$6:$L$55,"&gt;="&amp;B60)))</f>
      </c>
      <c r="N60" s="12" t="str">
        <f>IF(J60="","",IF(J60&lt;&gt;"정상","비용 설정 필요",E60*M60))</f>
      </c>
      <c r="O60" s="12" t="str">
        <f>IF(J60="","",IF(J60&lt;&gt;"정상","비용 설정 필요",G60+L60+N60+H60))</f>
      </c>
      <c r="P60" s="13" t="str">
        <f>IF(J60="","",IF(J60&lt;&gt;"정상","비용 설정 필요",F60-O60))</f>
      </c>
      <c r="Q60" s="14" t="str">
        <f>IF(J60="","",IF(J60&lt;&gt;"정상","비용 설정 필요",IFERROR(P60/F60,0)))</f>
      </c>
    </row>
    <row r="61">
      <c r="B61" s="7"/>
      <c r="C61" s="5"/>
      <c r="D61" s="5"/>
      <c r="E61" s="8"/>
      <c r="F61" s="8"/>
      <c r="G61" s="8"/>
      <c r="H61" s="8"/>
      <c r="I61" s="6"/>
      <c r="J61" s="10" t="str">
        <f>IF(AND(B61="",C61="",D61=""),"",IF(OR(B61="",D61=""),"비용 설정 필요",IF(COUNTIFS('3_채널별_비용설정'!$C$6:$C$55,D61,'3_채널별_비용설정'!$D$6:$D$55,"&lt;="&amp;B61,'3_채널별_비용설정'!$L$6:$L$55,"&gt;="&amp;B61)=0,"비용 설정 필요",IF(COUNTIFS('3_채널별_비용설정'!$C$6:$C$55,D61,'3_채널별_비용설정'!$D$6:$D$55,"&lt;="&amp;B61,'3_채널별_비용설정'!$L$6:$L$55,"&gt;="&amp;B61)&gt;1,"기간 중복 확인","정상"))))</f>
      </c>
      <c r="K61" s="15" t="str">
        <f>IF(J61="","",IF(J61&lt;&gt;"정상","비용 설정 필요",SUMIFS('3_채널별_비용설정'!$F$6:$F$55,'3_채널별_비용설정'!$C$6:$C$55,D61,'3_채널별_비용설정'!$D$6:$D$55,"&lt;="&amp;B61,'3_채널별_비용설정'!$L$6:$L$55,"&gt;="&amp;B61)))</f>
      </c>
      <c r="L61" s="12" t="str">
        <f>IF(J61="","",IF(J61&lt;&gt;"정상","비용 설정 필요",ROUND(F61*K61,0)))</f>
      </c>
      <c r="M61" s="12" t="str">
        <f>IF(J61="","",IF(J61&lt;&gt;"정상","비용 설정 필요",SUMIFS('3_채널별_비용설정'!$J$6:$J$55,'3_채널별_비용설정'!$C$6:$C$55,D61,'3_채널별_비용설정'!$D$6:$D$55,"&lt;="&amp;B61,'3_채널별_비용설정'!$L$6:$L$55,"&gt;="&amp;B61)))</f>
      </c>
      <c r="N61" s="12" t="str">
        <f>IF(J61="","",IF(J61&lt;&gt;"정상","비용 설정 필요",E61*M61))</f>
      </c>
      <c r="O61" s="12" t="str">
        <f>IF(J61="","",IF(J61&lt;&gt;"정상","비용 설정 필요",G61+L61+N61+H61))</f>
      </c>
      <c r="P61" s="13" t="str">
        <f>IF(J61="","",IF(J61&lt;&gt;"정상","비용 설정 필요",F61-O61))</f>
      </c>
      <c r="Q61" s="14" t="str">
        <f>IF(J61="","",IF(J61&lt;&gt;"정상","비용 설정 필요",IFERROR(P61/F61,0)))</f>
      </c>
    </row>
    <row r="62">
      <c r="B62" s="7"/>
      <c r="C62" s="5"/>
      <c r="D62" s="5"/>
      <c r="E62" s="8"/>
      <c r="F62" s="8"/>
      <c r="G62" s="8"/>
      <c r="H62" s="8"/>
      <c r="I62" s="6"/>
      <c r="J62" s="10" t="str">
        <f>IF(AND(B62="",C62="",D62=""),"",IF(OR(B62="",D62=""),"비용 설정 필요",IF(COUNTIFS('3_채널별_비용설정'!$C$6:$C$55,D62,'3_채널별_비용설정'!$D$6:$D$55,"&lt;="&amp;B62,'3_채널별_비용설정'!$L$6:$L$55,"&gt;="&amp;B62)=0,"비용 설정 필요",IF(COUNTIFS('3_채널별_비용설정'!$C$6:$C$55,D62,'3_채널별_비용설정'!$D$6:$D$55,"&lt;="&amp;B62,'3_채널별_비용설정'!$L$6:$L$55,"&gt;="&amp;B62)&gt;1,"기간 중복 확인","정상"))))</f>
      </c>
      <c r="K62" s="15" t="str">
        <f>IF(J62="","",IF(J62&lt;&gt;"정상","비용 설정 필요",SUMIFS('3_채널별_비용설정'!$F$6:$F$55,'3_채널별_비용설정'!$C$6:$C$55,D62,'3_채널별_비용설정'!$D$6:$D$55,"&lt;="&amp;B62,'3_채널별_비용설정'!$L$6:$L$55,"&gt;="&amp;B62)))</f>
      </c>
      <c r="L62" s="12" t="str">
        <f>IF(J62="","",IF(J62&lt;&gt;"정상","비용 설정 필요",ROUND(F62*K62,0)))</f>
      </c>
      <c r="M62" s="12" t="str">
        <f>IF(J62="","",IF(J62&lt;&gt;"정상","비용 설정 필요",SUMIFS('3_채널별_비용설정'!$J$6:$J$55,'3_채널별_비용설정'!$C$6:$C$55,D62,'3_채널별_비용설정'!$D$6:$D$55,"&lt;="&amp;B62,'3_채널별_비용설정'!$L$6:$L$55,"&gt;="&amp;B62)))</f>
      </c>
      <c r="N62" s="12" t="str">
        <f>IF(J62="","",IF(J62&lt;&gt;"정상","비용 설정 필요",E62*M62))</f>
      </c>
      <c r="O62" s="12" t="str">
        <f>IF(J62="","",IF(J62&lt;&gt;"정상","비용 설정 필요",G62+L62+N62+H62))</f>
      </c>
      <c r="P62" s="13" t="str">
        <f>IF(J62="","",IF(J62&lt;&gt;"정상","비용 설정 필요",F62-O62))</f>
      </c>
      <c r="Q62" s="14" t="str">
        <f>IF(J62="","",IF(J62&lt;&gt;"정상","비용 설정 필요",IFERROR(P62/F62,0)))</f>
      </c>
    </row>
    <row r="63">
      <c r="B63" s="7"/>
      <c r="C63" s="5"/>
      <c r="D63" s="5"/>
      <c r="E63" s="8"/>
      <c r="F63" s="8"/>
      <c r="G63" s="8"/>
      <c r="H63" s="8"/>
      <c r="I63" s="6"/>
      <c r="J63" s="10" t="str">
        <f>IF(AND(B63="",C63="",D63=""),"",IF(OR(B63="",D63=""),"비용 설정 필요",IF(COUNTIFS('3_채널별_비용설정'!$C$6:$C$55,D63,'3_채널별_비용설정'!$D$6:$D$55,"&lt;="&amp;B63,'3_채널별_비용설정'!$L$6:$L$55,"&gt;="&amp;B63)=0,"비용 설정 필요",IF(COUNTIFS('3_채널별_비용설정'!$C$6:$C$55,D63,'3_채널별_비용설정'!$D$6:$D$55,"&lt;="&amp;B63,'3_채널별_비용설정'!$L$6:$L$55,"&gt;="&amp;B63)&gt;1,"기간 중복 확인","정상"))))</f>
      </c>
      <c r="K63" s="15" t="str">
        <f>IF(J63="","",IF(J63&lt;&gt;"정상","비용 설정 필요",SUMIFS('3_채널별_비용설정'!$F$6:$F$55,'3_채널별_비용설정'!$C$6:$C$55,D63,'3_채널별_비용설정'!$D$6:$D$55,"&lt;="&amp;B63,'3_채널별_비용설정'!$L$6:$L$55,"&gt;="&amp;B63)))</f>
      </c>
      <c r="L63" s="12" t="str">
        <f>IF(J63="","",IF(J63&lt;&gt;"정상","비용 설정 필요",ROUND(F63*K63,0)))</f>
      </c>
      <c r="M63" s="12" t="str">
        <f>IF(J63="","",IF(J63&lt;&gt;"정상","비용 설정 필요",SUMIFS('3_채널별_비용설정'!$J$6:$J$55,'3_채널별_비용설정'!$C$6:$C$55,D63,'3_채널별_비용설정'!$D$6:$D$55,"&lt;="&amp;B63,'3_채널별_비용설정'!$L$6:$L$55,"&gt;="&amp;B63)))</f>
      </c>
      <c r="N63" s="12" t="str">
        <f>IF(J63="","",IF(J63&lt;&gt;"정상","비용 설정 필요",E63*M63))</f>
      </c>
      <c r="O63" s="12" t="str">
        <f>IF(J63="","",IF(J63&lt;&gt;"정상","비용 설정 필요",G63+L63+N63+H63))</f>
      </c>
      <c r="P63" s="13" t="str">
        <f>IF(J63="","",IF(J63&lt;&gt;"정상","비용 설정 필요",F63-O63))</f>
      </c>
      <c r="Q63" s="14" t="str">
        <f>IF(J63="","",IF(J63&lt;&gt;"정상","비용 설정 필요",IFERROR(P63/F63,0)))</f>
      </c>
    </row>
    <row r="64">
      <c r="B64" s="7"/>
      <c r="C64" s="5"/>
      <c r="D64" s="5"/>
      <c r="E64" s="8"/>
      <c r="F64" s="8"/>
      <c r="G64" s="8"/>
      <c r="H64" s="8"/>
      <c r="I64" s="6"/>
      <c r="J64" s="10" t="str">
        <f>IF(AND(B64="",C64="",D64=""),"",IF(OR(B64="",D64=""),"비용 설정 필요",IF(COUNTIFS('3_채널별_비용설정'!$C$6:$C$55,D64,'3_채널별_비용설정'!$D$6:$D$55,"&lt;="&amp;B64,'3_채널별_비용설정'!$L$6:$L$55,"&gt;="&amp;B64)=0,"비용 설정 필요",IF(COUNTIFS('3_채널별_비용설정'!$C$6:$C$55,D64,'3_채널별_비용설정'!$D$6:$D$55,"&lt;="&amp;B64,'3_채널별_비용설정'!$L$6:$L$55,"&gt;="&amp;B64)&gt;1,"기간 중복 확인","정상"))))</f>
      </c>
      <c r="K64" s="15" t="str">
        <f>IF(J64="","",IF(J64&lt;&gt;"정상","비용 설정 필요",SUMIFS('3_채널별_비용설정'!$F$6:$F$55,'3_채널별_비용설정'!$C$6:$C$55,D64,'3_채널별_비용설정'!$D$6:$D$55,"&lt;="&amp;B64,'3_채널별_비용설정'!$L$6:$L$55,"&gt;="&amp;B64)))</f>
      </c>
      <c r="L64" s="12" t="str">
        <f>IF(J64="","",IF(J64&lt;&gt;"정상","비용 설정 필요",ROUND(F64*K64,0)))</f>
      </c>
      <c r="M64" s="12" t="str">
        <f>IF(J64="","",IF(J64&lt;&gt;"정상","비용 설정 필요",SUMIFS('3_채널별_비용설정'!$J$6:$J$55,'3_채널별_비용설정'!$C$6:$C$55,D64,'3_채널별_비용설정'!$D$6:$D$55,"&lt;="&amp;B64,'3_채널별_비용설정'!$L$6:$L$55,"&gt;="&amp;B64)))</f>
      </c>
      <c r="N64" s="12" t="str">
        <f>IF(J64="","",IF(J64&lt;&gt;"정상","비용 설정 필요",E64*M64))</f>
      </c>
      <c r="O64" s="12" t="str">
        <f>IF(J64="","",IF(J64&lt;&gt;"정상","비용 설정 필요",G64+L64+N64+H64))</f>
      </c>
      <c r="P64" s="13" t="str">
        <f>IF(J64="","",IF(J64&lt;&gt;"정상","비용 설정 필요",F64-O64))</f>
      </c>
      <c r="Q64" s="14" t="str">
        <f>IF(J64="","",IF(J64&lt;&gt;"정상","비용 설정 필요",IFERROR(P64/F64,0)))</f>
      </c>
    </row>
    <row r="65">
      <c r="B65" s="7"/>
      <c r="C65" s="5"/>
      <c r="D65" s="5"/>
      <c r="E65" s="8"/>
      <c r="F65" s="8"/>
      <c r="G65" s="8"/>
      <c r="H65" s="8"/>
      <c r="I65" s="6"/>
      <c r="J65" s="10" t="str">
        <f>IF(AND(B65="",C65="",D65=""),"",IF(OR(B65="",D65=""),"비용 설정 필요",IF(COUNTIFS('3_채널별_비용설정'!$C$6:$C$55,D65,'3_채널별_비용설정'!$D$6:$D$55,"&lt;="&amp;B65,'3_채널별_비용설정'!$L$6:$L$55,"&gt;="&amp;B65)=0,"비용 설정 필요",IF(COUNTIFS('3_채널별_비용설정'!$C$6:$C$55,D65,'3_채널별_비용설정'!$D$6:$D$55,"&lt;="&amp;B65,'3_채널별_비용설정'!$L$6:$L$55,"&gt;="&amp;B65)&gt;1,"기간 중복 확인","정상"))))</f>
      </c>
      <c r="K65" s="15" t="str">
        <f>IF(J65="","",IF(J65&lt;&gt;"정상","비용 설정 필요",SUMIFS('3_채널별_비용설정'!$F$6:$F$55,'3_채널별_비용설정'!$C$6:$C$55,D65,'3_채널별_비용설정'!$D$6:$D$55,"&lt;="&amp;B65,'3_채널별_비용설정'!$L$6:$L$55,"&gt;="&amp;B65)))</f>
      </c>
      <c r="L65" s="12" t="str">
        <f>IF(J65="","",IF(J65&lt;&gt;"정상","비용 설정 필요",ROUND(F65*K65,0)))</f>
      </c>
      <c r="M65" s="12" t="str">
        <f>IF(J65="","",IF(J65&lt;&gt;"정상","비용 설정 필요",SUMIFS('3_채널별_비용설정'!$J$6:$J$55,'3_채널별_비용설정'!$C$6:$C$55,D65,'3_채널별_비용설정'!$D$6:$D$55,"&lt;="&amp;B65,'3_채널별_비용설정'!$L$6:$L$55,"&gt;="&amp;B65)))</f>
      </c>
      <c r="N65" s="12" t="str">
        <f>IF(J65="","",IF(J65&lt;&gt;"정상","비용 설정 필요",E65*M65))</f>
      </c>
      <c r="O65" s="12" t="str">
        <f>IF(J65="","",IF(J65&lt;&gt;"정상","비용 설정 필요",G65+L65+N65+H65))</f>
      </c>
      <c r="P65" s="13" t="str">
        <f>IF(J65="","",IF(J65&lt;&gt;"정상","비용 설정 필요",F65-O65))</f>
      </c>
      <c r="Q65" s="14" t="str">
        <f>IF(J65="","",IF(J65&lt;&gt;"정상","비용 설정 필요",IFERROR(P65/F65,0)))</f>
      </c>
    </row>
    <row r="66">
      <c r="B66" s="7"/>
      <c r="C66" s="5"/>
      <c r="D66" s="5"/>
      <c r="E66" s="8"/>
      <c r="F66" s="8"/>
      <c r="G66" s="8"/>
      <c r="H66" s="8"/>
      <c r="I66" s="6"/>
      <c r="J66" s="10" t="str">
        <f>IF(AND(B66="",C66="",D66=""),"",IF(OR(B66="",D66=""),"비용 설정 필요",IF(COUNTIFS('3_채널별_비용설정'!$C$6:$C$55,D66,'3_채널별_비용설정'!$D$6:$D$55,"&lt;="&amp;B66,'3_채널별_비용설정'!$L$6:$L$55,"&gt;="&amp;B66)=0,"비용 설정 필요",IF(COUNTIFS('3_채널별_비용설정'!$C$6:$C$55,D66,'3_채널별_비용설정'!$D$6:$D$55,"&lt;="&amp;B66,'3_채널별_비용설정'!$L$6:$L$55,"&gt;="&amp;B66)&gt;1,"기간 중복 확인","정상"))))</f>
      </c>
      <c r="K66" s="15" t="str">
        <f>IF(J66="","",IF(J66&lt;&gt;"정상","비용 설정 필요",SUMIFS('3_채널별_비용설정'!$F$6:$F$55,'3_채널별_비용설정'!$C$6:$C$55,D66,'3_채널별_비용설정'!$D$6:$D$55,"&lt;="&amp;B66,'3_채널별_비용설정'!$L$6:$L$55,"&gt;="&amp;B66)))</f>
      </c>
      <c r="L66" s="12" t="str">
        <f>IF(J66="","",IF(J66&lt;&gt;"정상","비용 설정 필요",ROUND(F66*K66,0)))</f>
      </c>
      <c r="M66" s="12" t="str">
        <f>IF(J66="","",IF(J66&lt;&gt;"정상","비용 설정 필요",SUMIFS('3_채널별_비용설정'!$J$6:$J$55,'3_채널별_비용설정'!$C$6:$C$55,D66,'3_채널별_비용설정'!$D$6:$D$55,"&lt;="&amp;B66,'3_채널별_비용설정'!$L$6:$L$55,"&gt;="&amp;B66)))</f>
      </c>
      <c r="N66" s="12" t="str">
        <f>IF(J66="","",IF(J66&lt;&gt;"정상","비용 설정 필요",E66*M66))</f>
      </c>
      <c r="O66" s="12" t="str">
        <f>IF(J66="","",IF(J66&lt;&gt;"정상","비용 설정 필요",G66+L66+N66+H66))</f>
      </c>
      <c r="P66" s="13" t="str">
        <f>IF(J66="","",IF(J66&lt;&gt;"정상","비용 설정 필요",F66-O66))</f>
      </c>
      <c r="Q66" s="14" t="str">
        <f>IF(J66="","",IF(J66&lt;&gt;"정상","비용 설정 필요",IFERROR(P66/F66,0)))</f>
      </c>
    </row>
    <row r="67">
      <c r="B67" s="7"/>
      <c r="C67" s="5"/>
      <c r="D67" s="5"/>
      <c r="E67" s="8"/>
      <c r="F67" s="8"/>
      <c r="G67" s="8"/>
      <c r="H67" s="8"/>
      <c r="I67" s="6"/>
      <c r="J67" s="10" t="str">
        <f>IF(AND(B67="",C67="",D67=""),"",IF(OR(B67="",D67=""),"비용 설정 필요",IF(COUNTIFS('3_채널별_비용설정'!$C$6:$C$55,D67,'3_채널별_비용설정'!$D$6:$D$55,"&lt;="&amp;B67,'3_채널별_비용설정'!$L$6:$L$55,"&gt;="&amp;B67)=0,"비용 설정 필요",IF(COUNTIFS('3_채널별_비용설정'!$C$6:$C$55,D67,'3_채널별_비용설정'!$D$6:$D$55,"&lt;="&amp;B67,'3_채널별_비용설정'!$L$6:$L$55,"&gt;="&amp;B67)&gt;1,"기간 중복 확인","정상"))))</f>
      </c>
      <c r="K67" s="15" t="str">
        <f>IF(J67="","",IF(J67&lt;&gt;"정상","비용 설정 필요",SUMIFS('3_채널별_비용설정'!$F$6:$F$55,'3_채널별_비용설정'!$C$6:$C$55,D67,'3_채널별_비용설정'!$D$6:$D$55,"&lt;="&amp;B67,'3_채널별_비용설정'!$L$6:$L$55,"&gt;="&amp;B67)))</f>
      </c>
      <c r="L67" s="12" t="str">
        <f>IF(J67="","",IF(J67&lt;&gt;"정상","비용 설정 필요",ROUND(F67*K67,0)))</f>
      </c>
      <c r="M67" s="12" t="str">
        <f>IF(J67="","",IF(J67&lt;&gt;"정상","비용 설정 필요",SUMIFS('3_채널별_비용설정'!$J$6:$J$55,'3_채널별_비용설정'!$C$6:$C$55,D67,'3_채널별_비용설정'!$D$6:$D$55,"&lt;="&amp;B67,'3_채널별_비용설정'!$L$6:$L$55,"&gt;="&amp;B67)))</f>
      </c>
      <c r="N67" s="12" t="str">
        <f>IF(J67="","",IF(J67&lt;&gt;"정상","비용 설정 필요",E67*M67))</f>
      </c>
      <c r="O67" s="12" t="str">
        <f>IF(J67="","",IF(J67&lt;&gt;"정상","비용 설정 필요",G67+L67+N67+H67))</f>
      </c>
      <c r="P67" s="13" t="str">
        <f>IF(J67="","",IF(J67&lt;&gt;"정상","비용 설정 필요",F67-O67))</f>
      </c>
      <c r="Q67" s="14" t="str">
        <f>IF(J67="","",IF(J67&lt;&gt;"정상","비용 설정 필요",IFERROR(P67/F67,0)))</f>
      </c>
    </row>
    <row r="68">
      <c r="B68" s="7"/>
      <c r="C68" s="5"/>
      <c r="D68" s="5"/>
      <c r="E68" s="8"/>
      <c r="F68" s="8"/>
      <c r="G68" s="8"/>
      <c r="H68" s="8"/>
      <c r="I68" s="6"/>
      <c r="J68" s="10" t="str">
        <f>IF(AND(B68="",C68="",D68=""),"",IF(OR(B68="",D68=""),"비용 설정 필요",IF(COUNTIFS('3_채널별_비용설정'!$C$6:$C$55,D68,'3_채널별_비용설정'!$D$6:$D$55,"&lt;="&amp;B68,'3_채널별_비용설정'!$L$6:$L$55,"&gt;="&amp;B68)=0,"비용 설정 필요",IF(COUNTIFS('3_채널별_비용설정'!$C$6:$C$55,D68,'3_채널별_비용설정'!$D$6:$D$55,"&lt;="&amp;B68,'3_채널별_비용설정'!$L$6:$L$55,"&gt;="&amp;B68)&gt;1,"기간 중복 확인","정상"))))</f>
      </c>
      <c r="K68" s="15" t="str">
        <f>IF(J68="","",IF(J68&lt;&gt;"정상","비용 설정 필요",SUMIFS('3_채널별_비용설정'!$F$6:$F$55,'3_채널별_비용설정'!$C$6:$C$55,D68,'3_채널별_비용설정'!$D$6:$D$55,"&lt;="&amp;B68,'3_채널별_비용설정'!$L$6:$L$55,"&gt;="&amp;B68)))</f>
      </c>
      <c r="L68" s="12" t="str">
        <f>IF(J68="","",IF(J68&lt;&gt;"정상","비용 설정 필요",ROUND(F68*K68,0)))</f>
      </c>
      <c r="M68" s="12" t="str">
        <f>IF(J68="","",IF(J68&lt;&gt;"정상","비용 설정 필요",SUMIFS('3_채널별_비용설정'!$J$6:$J$55,'3_채널별_비용설정'!$C$6:$C$55,D68,'3_채널별_비용설정'!$D$6:$D$55,"&lt;="&amp;B68,'3_채널별_비용설정'!$L$6:$L$55,"&gt;="&amp;B68)))</f>
      </c>
      <c r="N68" s="12" t="str">
        <f>IF(J68="","",IF(J68&lt;&gt;"정상","비용 설정 필요",E68*M68))</f>
      </c>
      <c r="O68" s="12" t="str">
        <f>IF(J68="","",IF(J68&lt;&gt;"정상","비용 설정 필요",G68+L68+N68+H68))</f>
      </c>
      <c r="P68" s="13" t="str">
        <f>IF(J68="","",IF(J68&lt;&gt;"정상","비용 설정 필요",F68-O68))</f>
      </c>
      <c r="Q68" s="14" t="str">
        <f>IF(J68="","",IF(J68&lt;&gt;"정상","비용 설정 필요",IFERROR(P68/F68,0)))</f>
      </c>
    </row>
    <row r="69">
      <c r="B69" s="7"/>
      <c r="C69" s="5"/>
      <c r="D69" s="5"/>
      <c r="E69" s="8"/>
      <c r="F69" s="8"/>
      <c r="G69" s="8"/>
      <c r="H69" s="8"/>
      <c r="I69" s="6"/>
      <c r="J69" s="10" t="str">
        <f>IF(AND(B69="",C69="",D69=""),"",IF(OR(B69="",D69=""),"비용 설정 필요",IF(COUNTIFS('3_채널별_비용설정'!$C$6:$C$55,D69,'3_채널별_비용설정'!$D$6:$D$55,"&lt;="&amp;B69,'3_채널별_비용설정'!$L$6:$L$55,"&gt;="&amp;B69)=0,"비용 설정 필요",IF(COUNTIFS('3_채널별_비용설정'!$C$6:$C$55,D69,'3_채널별_비용설정'!$D$6:$D$55,"&lt;="&amp;B69,'3_채널별_비용설정'!$L$6:$L$55,"&gt;="&amp;B69)&gt;1,"기간 중복 확인","정상"))))</f>
      </c>
      <c r="K69" s="15" t="str">
        <f>IF(J69="","",IF(J69&lt;&gt;"정상","비용 설정 필요",SUMIFS('3_채널별_비용설정'!$F$6:$F$55,'3_채널별_비용설정'!$C$6:$C$55,D69,'3_채널별_비용설정'!$D$6:$D$55,"&lt;="&amp;B69,'3_채널별_비용설정'!$L$6:$L$55,"&gt;="&amp;B69)))</f>
      </c>
      <c r="L69" s="12" t="str">
        <f>IF(J69="","",IF(J69&lt;&gt;"정상","비용 설정 필요",ROUND(F69*K69,0)))</f>
      </c>
      <c r="M69" s="12" t="str">
        <f>IF(J69="","",IF(J69&lt;&gt;"정상","비용 설정 필요",SUMIFS('3_채널별_비용설정'!$J$6:$J$55,'3_채널별_비용설정'!$C$6:$C$55,D69,'3_채널별_비용설정'!$D$6:$D$55,"&lt;="&amp;B69,'3_채널별_비용설정'!$L$6:$L$55,"&gt;="&amp;B69)))</f>
      </c>
      <c r="N69" s="12" t="str">
        <f>IF(J69="","",IF(J69&lt;&gt;"정상","비용 설정 필요",E69*M69))</f>
      </c>
      <c r="O69" s="12" t="str">
        <f>IF(J69="","",IF(J69&lt;&gt;"정상","비용 설정 필요",G69+L69+N69+H69))</f>
      </c>
      <c r="P69" s="13" t="str">
        <f>IF(J69="","",IF(J69&lt;&gt;"정상","비용 설정 필요",F69-O69))</f>
      </c>
      <c r="Q69" s="14" t="str">
        <f>IF(J69="","",IF(J69&lt;&gt;"정상","비용 설정 필요",IFERROR(P69/F69,0)))</f>
      </c>
    </row>
    <row r="70">
      <c r="B70" s="7"/>
      <c r="C70" s="5"/>
      <c r="D70" s="5"/>
      <c r="E70" s="8"/>
      <c r="F70" s="8"/>
      <c r="G70" s="8"/>
      <c r="H70" s="8"/>
      <c r="I70" s="6"/>
      <c r="J70" s="10" t="str">
        <f>IF(AND(B70="",C70="",D70=""),"",IF(OR(B70="",D70=""),"비용 설정 필요",IF(COUNTIFS('3_채널별_비용설정'!$C$6:$C$55,D70,'3_채널별_비용설정'!$D$6:$D$55,"&lt;="&amp;B70,'3_채널별_비용설정'!$L$6:$L$55,"&gt;="&amp;B70)=0,"비용 설정 필요",IF(COUNTIFS('3_채널별_비용설정'!$C$6:$C$55,D70,'3_채널별_비용설정'!$D$6:$D$55,"&lt;="&amp;B70,'3_채널별_비용설정'!$L$6:$L$55,"&gt;="&amp;B70)&gt;1,"기간 중복 확인","정상"))))</f>
      </c>
      <c r="K70" s="15" t="str">
        <f>IF(J70="","",IF(J70&lt;&gt;"정상","비용 설정 필요",SUMIFS('3_채널별_비용설정'!$F$6:$F$55,'3_채널별_비용설정'!$C$6:$C$55,D70,'3_채널별_비용설정'!$D$6:$D$55,"&lt;="&amp;B70,'3_채널별_비용설정'!$L$6:$L$55,"&gt;="&amp;B70)))</f>
      </c>
      <c r="L70" s="12" t="str">
        <f>IF(J70="","",IF(J70&lt;&gt;"정상","비용 설정 필요",ROUND(F70*K70,0)))</f>
      </c>
      <c r="M70" s="12" t="str">
        <f>IF(J70="","",IF(J70&lt;&gt;"정상","비용 설정 필요",SUMIFS('3_채널별_비용설정'!$J$6:$J$55,'3_채널별_비용설정'!$C$6:$C$55,D70,'3_채널별_비용설정'!$D$6:$D$55,"&lt;="&amp;B70,'3_채널별_비용설정'!$L$6:$L$55,"&gt;="&amp;B70)))</f>
      </c>
      <c r="N70" s="12" t="str">
        <f>IF(J70="","",IF(J70&lt;&gt;"정상","비용 설정 필요",E70*M70))</f>
      </c>
      <c r="O70" s="12" t="str">
        <f>IF(J70="","",IF(J70&lt;&gt;"정상","비용 설정 필요",G70+L70+N70+H70))</f>
      </c>
      <c r="P70" s="13" t="str">
        <f>IF(J70="","",IF(J70&lt;&gt;"정상","비용 설정 필요",F70-O70))</f>
      </c>
      <c r="Q70" s="14" t="str">
        <f>IF(J70="","",IF(J70&lt;&gt;"정상","비용 설정 필요",IFERROR(P70/F70,0)))</f>
      </c>
    </row>
    <row r="71">
      <c r="B71" s="7"/>
      <c r="C71" s="5"/>
      <c r="D71" s="5"/>
      <c r="E71" s="8"/>
      <c r="F71" s="8"/>
      <c r="G71" s="8"/>
      <c r="H71" s="8"/>
      <c r="I71" s="6"/>
      <c r="J71" s="10" t="str">
        <f>IF(AND(B71="",C71="",D71=""),"",IF(OR(B71="",D71=""),"비용 설정 필요",IF(COUNTIFS('3_채널별_비용설정'!$C$6:$C$55,D71,'3_채널별_비용설정'!$D$6:$D$55,"&lt;="&amp;B71,'3_채널별_비용설정'!$L$6:$L$55,"&gt;="&amp;B71)=0,"비용 설정 필요",IF(COUNTIFS('3_채널별_비용설정'!$C$6:$C$55,D71,'3_채널별_비용설정'!$D$6:$D$55,"&lt;="&amp;B71,'3_채널별_비용설정'!$L$6:$L$55,"&gt;="&amp;B71)&gt;1,"기간 중복 확인","정상"))))</f>
      </c>
      <c r="K71" s="15" t="str">
        <f>IF(J71="","",IF(J71&lt;&gt;"정상","비용 설정 필요",SUMIFS('3_채널별_비용설정'!$F$6:$F$55,'3_채널별_비용설정'!$C$6:$C$55,D71,'3_채널별_비용설정'!$D$6:$D$55,"&lt;="&amp;B71,'3_채널별_비용설정'!$L$6:$L$55,"&gt;="&amp;B71)))</f>
      </c>
      <c r="L71" s="12" t="str">
        <f>IF(J71="","",IF(J71&lt;&gt;"정상","비용 설정 필요",ROUND(F71*K71,0)))</f>
      </c>
      <c r="M71" s="12" t="str">
        <f>IF(J71="","",IF(J71&lt;&gt;"정상","비용 설정 필요",SUMIFS('3_채널별_비용설정'!$J$6:$J$55,'3_채널별_비용설정'!$C$6:$C$55,D71,'3_채널별_비용설정'!$D$6:$D$55,"&lt;="&amp;B71,'3_채널별_비용설정'!$L$6:$L$55,"&gt;="&amp;B71)))</f>
      </c>
      <c r="N71" s="12" t="str">
        <f>IF(J71="","",IF(J71&lt;&gt;"정상","비용 설정 필요",E71*M71))</f>
      </c>
      <c r="O71" s="12" t="str">
        <f>IF(J71="","",IF(J71&lt;&gt;"정상","비용 설정 필요",G71+L71+N71+H71))</f>
      </c>
      <c r="P71" s="13" t="str">
        <f>IF(J71="","",IF(J71&lt;&gt;"정상","비용 설정 필요",F71-O71))</f>
      </c>
      <c r="Q71" s="14" t="str">
        <f>IF(J71="","",IF(J71&lt;&gt;"정상","비용 설정 필요",IFERROR(P71/F71,0)))</f>
      </c>
    </row>
    <row r="72">
      <c r="B72" s="7"/>
      <c r="C72" s="5"/>
      <c r="D72" s="5"/>
      <c r="E72" s="8"/>
      <c r="F72" s="8"/>
      <c r="G72" s="8"/>
      <c r="H72" s="8"/>
      <c r="I72" s="6"/>
      <c r="J72" s="10" t="str">
        <f>IF(AND(B72="",C72="",D72=""),"",IF(OR(B72="",D72=""),"비용 설정 필요",IF(COUNTIFS('3_채널별_비용설정'!$C$6:$C$55,D72,'3_채널별_비용설정'!$D$6:$D$55,"&lt;="&amp;B72,'3_채널별_비용설정'!$L$6:$L$55,"&gt;="&amp;B72)=0,"비용 설정 필요",IF(COUNTIFS('3_채널별_비용설정'!$C$6:$C$55,D72,'3_채널별_비용설정'!$D$6:$D$55,"&lt;="&amp;B72,'3_채널별_비용설정'!$L$6:$L$55,"&gt;="&amp;B72)&gt;1,"기간 중복 확인","정상"))))</f>
      </c>
      <c r="K72" s="15" t="str">
        <f>IF(J72="","",IF(J72&lt;&gt;"정상","비용 설정 필요",SUMIFS('3_채널별_비용설정'!$F$6:$F$55,'3_채널별_비용설정'!$C$6:$C$55,D72,'3_채널별_비용설정'!$D$6:$D$55,"&lt;="&amp;B72,'3_채널별_비용설정'!$L$6:$L$55,"&gt;="&amp;B72)))</f>
      </c>
      <c r="L72" s="12" t="str">
        <f>IF(J72="","",IF(J72&lt;&gt;"정상","비용 설정 필요",ROUND(F72*K72,0)))</f>
      </c>
      <c r="M72" s="12" t="str">
        <f>IF(J72="","",IF(J72&lt;&gt;"정상","비용 설정 필요",SUMIFS('3_채널별_비용설정'!$J$6:$J$55,'3_채널별_비용설정'!$C$6:$C$55,D72,'3_채널별_비용설정'!$D$6:$D$55,"&lt;="&amp;B72,'3_채널별_비용설정'!$L$6:$L$55,"&gt;="&amp;B72)))</f>
      </c>
      <c r="N72" s="12" t="str">
        <f>IF(J72="","",IF(J72&lt;&gt;"정상","비용 설정 필요",E72*M72))</f>
      </c>
      <c r="O72" s="12" t="str">
        <f>IF(J72="","",IF(J72&lt;&gt;"정상","비용 설정 필요",G72+L72+N72+H72))</f>
      </c>
      <c r="P72" s="13" t="str">
        <f>IF(J72="","",IF(J72&lt;&gt;"정상","비용 설정 필요",F72-O72))</f>
      </c>
      <c r="Q72" s="14" t="str">
        <f>IF(J72="","",IF(J72&lt;&gt;"정상","비용 설정 필요",IFERROR(P72/F72,0)))</f>
      </c>
    </row>
    <row r="73">
      <c r="B73" s="7"/>
      <c r="C73" s="5"/>
      <c r="D73" s="5"/>
      <c r="E73" s="8"/>
      <c r="F73" s="8"/>
      <c r="G73" s="8"/>
      <c r="H73" s="8"/>
      <c r="I73" s="6"/>
      <c r="J73" s="10" t="str">
        <f>IF(AND(B73="",C73="",D73=""),"",IF(OR(B73="",D73=""),"비용 설정 필요",IF(COUNTIFS('3_채널별_비용설정'!$C$6:$C$55,D73,'3_채널별_비용설정'!$D$6:$D$55,"&lt;="&amp;B73,'3_채널별_비용설정'!$L$6:$L$55,"&gt;="&amp;B73)=0,"비용 설정 필요",IF(COUNTIFS('3_채널별_비용설정'!$C$6:$C$55,D73,'3_채널별_비용설정'!$D$6:$D$55,"&lt;="&amp;B73,'3_채널별_비용설정'!$L$6:$L$55,"&gt;="&amp;B73)&gt;1,"기간 중복 확인","정상"))))</f>
      </c>
      <c r="K73" s="15" t="str">
        <f>IF(J73="","",IF(J73&lt;&gt;"정상","비용 설정 필요",SUMIFS('3_채널별_비용설정'!$F$6:$F$55,'3_채널별_비용설정'!$C$6:$C$55,D73,'3_채널별_비용설정'!$D$6:$D$55,"&lt;="&amp;B73,'3_채널별_비용설정'!$L$6:$L$55,"&gt;="&amp;B73)))</f>
      </c>
      <c r="L73" s="12" t="str">
        <f>IF(J73="","",IF(J73&lt;&gt;"정상","비용 설정 필요",ROUND(F73*K73,0)))</f>
      </c>
      <c r="M73" s="12" t="str">
        <f>IF(J73="","",IF(J73&lt;&gt;"정상","비용 설정 필요",SUMIFS('3_채널별_비용설정'!$J$6:$J$55,'3_채널별_비용설정'!$C$6:$C$55,D73,'3_채널별_비용설정'!$D$6:$D$55,"&lt;="&amp;B73,'3_채널별_비용설정'!$L$6:$L$55,"&gt;="&amp;B73)))</f>
      </c>
      <c r="N73" s="12" t="str">
        <f>IF(J73="","",IF(J73&lt;&gt;"정상","비용 설정 필요",E73*M73))</f>
      </c>
      <c r="O73" s="12" t="str">
        <f>IF(J73="","",IF(J73&lt;&gt;"정상","비용 설정 필요",G73+L73+N73+H73))</f>
      </c>
      <c r="P73" s="13" t="str">
        <f>IF(J73="","",IF(J73&lt;&gt;"정상","비용 설정 필요",F73-O73))</f>
      </c>
      <c r="Q73" s="14" t="str">
        <f>IF(J73="","",IF(J73&lt;&gt;"정상","비용 설정 필요",IFERROR(P73/F73,0)))</f>
      </c>
    </row>
    <row r="74">
      <c r="B74" s="7"/>
      <c r="C74" s="5"/>
      <c r="D74" s="5"/>
      <c r="E74" s="8"/>
      <c r="F74" s="8"/>
      <c r="G74" s="8"/>
      <c r="H74" s="8"/>
      <c r="I74" s="6"/>
      <c r="J74" s="10" t="str">
        <f>IF(AND(B74="",C74="",D74=""),"",IF(OR(B74="",D74=""),"비용 설정 필요",IF(COUNTIFS('3_채널별_비용설정'!$C$6:$C$55,D74,'3_채널별_비용설정'!$D$6:$D$55,"&lt;="&amp;B74,'3_채널별_비용설정'!$L$6:$L$55,"&gt;="&amp;B74)=0,"비용 설정 필요",IF(COUNTIFS('3_채널별_비용설정'!$C$6:$C$55,D74,'3_채널별_비용설정'!$D$6:$D$55,"&lt;="&amp;B74,'3_채널별_비용설정'!$L$6:$L$55,"&gt;="&amp;B74)&gt;1,"기간 중복 확인","정상"))))</f>
      </c>
      <c r="K74" s="15" t="str">
        <f>IF(J74="","",IF(J74&lt;&gt;"정상","비용 설정 필요",SUMIFS('3_채널별_비용설정'!$F$6:$F$55,'3_채널별_비용설정'!$C$6:$C$55,D74,'3_채널별_비용설정'!$D$6:$D$55,"&lt;="&amp;B74,'3_채널별_비용설정'!$L$6:$L$55,"&gt;="&amp;B74)))</f>
      </c>
      <c r="L74" s="12" t="str">
        <f>IF(J74="","",IF(J74&lt;&gt;"정상","비용 설정 필요",ROUND(F74*K74,0)))</f>
      </c>
      <c r="M74" s="12" t="str">
        <f>IF(J74="","",IF(J74&lt;&gt;"정상","비용 설정 필요",SUMIFS('3_채널별_비용설정'!$J$6:$J$55,'3_채널별_비용설정'!$C$6:$C$55,D74,'3_채널별_비용설정'!$D$6:$D$55,"&lt;="&amp;B74,'3_채널별_비용설정'!$L$6:$L$55,"&gt;="&amp;B74)))</f>
      </c>
      <c r="N74" s="12" t="str">
        <f>IF(J74="","",IF(J74&lt;&gt;"정상","비용 설정 필요",E74*M74))</f>
      </c>
      <c r="O74" s="12" t="str">
        <f>IF(J74="","",IF(J74&lt;&gt;"정상","비용 설정 필요",G74+L74+N74+H74))</f>
      </c>
      <c r="P74" s="13" t="str">
        <f>IF(J74="","",IF(J74&lt;&gt;"정상","비용 설정 필요",F74-O74))</f>
      </c>
      <c r="Q74" s="14" t="str">
        <f>IF(J74="","",IF(J74&lt;&gt;"정상","비용 설정 필요",IFERROR(P74/F74,0)))</f>
      </c>
    </row>
    <row r="75">
      <c r="B75" s="7"/>
      <c r="C75" s="5"/>
      <c r="D75" s="5"/>
      <c r="E75" s="8"/>
      <c r="F75" s="8"/>
      <c r="G75" s="8"/>
      <c r="H75" s="8"/>
      <c r="I75" s="6"/>
      <c r="J75" s="10" t="str">
        <f>IF(AND(B75="",C75="",D75=""),"",IF(OR(B75="",D75=""),"비용 설정 필요",IF(COUNTIFS('3_채널별_비용설정'!$C$6:$C$55,D75,'3_채널별_비용설정'!$D$6:$D$55,"&lt;="&amp;B75,'3_채널별_비용설정'!$L$6:$L$55,"&gt;="&amp;B75)=0,"비용 설정 필요",IF(COUNTIFS('3_채널별_비용설정'!$C$6:$C$55,D75,'3_채널별_비용설정'!$D$6:$D$55,"&lt;="&amp;B75,'3_채널별_비용설정'!$L$6:$L$55,"&gt;="&amp;B75)&gt;1,"기간 중복 확인","정상"))))</f>
      </c>
      <c r="K75" s="15" t="str">
        <f>IF(J75="","",IF(J75&lt;&gt;"정상","비용 설정 필요",SUMIFS('3_채널별_비용설정'!$F$6:$F$55,'3_채널별_비용설정'!$C$6:$C$55,D75,'3_채널별_비용설정'!$D$6:$D$55,"&lt;="&amp;B75,'3_채널별_비용설정'!$L$6:$L$55,"&gt;="&amp;B75)))</f>
      </c>
      <c r="L75" s="12" t="str">
        <f>IF(J75="","",IF(J75&lt;&gt;"정상","비용 설정 필요",ROUND(F75*K75,0)))</f>
      </c>
      <c r="M75" s="12" t="str">
        <f>IF(J75="","",IF(J75&lt;&gt;"정상","비용 설정 필요",SUMIFS('3_채널별_비용설정'!$J$6:$J$55,'3_채널별_비용설정'!$C$6:$C$55,D75,'3_채널별_비용설정'!$D$6:$D$55,"&lt;="&amp;B75,'3_채널별_비용설정'!$L$6:$L$55,"&gt;="&amp;B75)))</f>
      </c>
      <c r="N75" s="12" t="str">
        <f>IF(J75="","",IF(J75&lt;&gt;"정상","비용 설정 필요",E75*M75))</f>
      </c>
      <c r="O75" s="12" t="str">
        <f>IF(J75="","",IF(J75&lt;&gt;"정상","비용 설정 필요",G75+L75+N75+H75))</f>
      </c>
      <c r="P75" s="13" t="str">
        <f>IF(J75="","",IF(J75&lt;&gt;"정상","비용 설정 필요",F75-O75))</f>
      </c>
      <c r="Q75" s="14" t="str">
        <f>IF(J75="","",IF(J75&lt;&gt;"정상","비용 설정 필요",IFERROR(P75/F75,0)))</f>
      </c>
    </row>
    <row r="76">
      <c r="B76" s="7"/>
      <c r="C76" s="5"/>
      <c r="D76" s="5"/>
      <c r="E76" s="8"/>
      <c r="F76" s="8"/>
      <c r="G76" s="8"/>
      <c r="H76" s="8"/>
      <c r="I76" s="6"/>
      <c r="J76" s="10" t="str">
        <f>IF(AND(B76="",C76="",D76=""),"",IF(OR(B76="",D76=""),"비용 설정 필요",IF(COUNTIFS('3_채널별_비용설정'!$C$6:$C$55,D76,'3_채널별_비용설정'!$D$6:$D$55,"&lt;="&amp;B76,'3_채널별_비용설정'!$L$6:$L$55,"&gt;="&amp;B76)=0,"비용 설정 필요",IF(COUNTIFS('3_채널별_비용설정'!$C$6:$C$55,D76,'3_채널별_비용설정'!$D$6:$D$55,"&lt;="&amp;B76,'3_채널별_비용설정'!$L$6:$L$55,"&gt;="&amp;B76)&gt;1,"기간 중복 확인","정상"))))</f>
      </c>
      <c r="K76" s="15" t="str">
        <f>IF(J76="","",IF(J76&lt;&gt;"정상","비용 설정 필요",SUMIFS('3_채널별_비용설정'!$F$6:$F$55,'3_채널별_비용설정'!$C$6:$C$55,D76,'3_채널별_비용설정'!$D$6:$D$55,"&lt;="&amp;B76,'3_채널별_비용설정'!$L$6:$L$55,"&gt;="&amp;B76)))</f>
      </c>
      <c r="L76" s="12" t="str">
        <f>IF(J76="","",IF(J76&lt;&gt;"정상","비용 설정 필요",ROUND(F76*K76,0)))</f>
      </c>
      <c r="M76" s="12" t="str">
        <f>IF(J76="","",IF(J76&lt;&gt;"정상","비용 설정 필요",SUMIFS('3_채널별_비용설정'!$J$6:$J$55,'3_채널별_비용설정'!$C$6:$C$55,D76,'3_채널별_비용설정'!$D$6:$D$55,"&lt;="&amp;B76,'3_채널별_비용설정'!$L$6:$L$55,"&gt;="&amp;B76)))</f>
      </c>
      <c r="N76" s="12" t="str">
        <f>IF(J76="","",IF(J76&lt;&gt;"정상","비용 설정 필요",E76*M76))</f>
      </c>
      <c r="O76" s="12" t="str">
        <f>IF(J76="","",IF(J76&lt;&gt;"정상","비용 설정 필요",G76+L76+N76+H76))</f>
      </c>
      <c r="P76" s="13" t="str">
        <f>IF(J76="","",IF(J76&lt;&gt;"정상","비용 설정 필요",F76-O76))</f>
      </c>
      <c r="Q76" s="14" t="str">
        <f>IF(J76="","",IF(J76&lt;&gt;"정상","비용 설정 필요",IFERROR(P76/F76,0)))</f>
      </c>
    </row>
    <row r="77">
      <c r="B77" s="7"/>
      <c r="C77" s="5"/>
      <c r="D77" s="5"/>
      <c r="E77" s="8"/>
      <c r="F77" s="8"/>
      <c r="G77" s="8"/>
      <c r="H77" s="8"/>
      <c r="I77" s="6"/>
      <c r="J77" s="10" t="str">
        <f>IF(AND(B77="",C77="",D77=""),"",IF(OR(B77="",D77=""),"비용 설정 필요",IF(COUNTIFS('3_채널별_비용설정'!$C$6:$C$55,D77,'3_채널별_비용설정'!$D$6:$D$55,"&lt;="&amp;B77,'3_채널별_비용설정'!$L$6:$L$55,"&gt;="&amp;B77)=0,"비용 설정 필요",IF(COUNTIFS('3_채널별_비용설정'!$C$6:$C$55,D77,'3_채널별_비용설정'!$D$6:$D$55,"&lt;="&amp;B77,'3_채널별_비용설정'!$L$6:$L$55,"&gt;="&amp;B77)&gt;1,"기간 중복 확인","정상"))))</f>
      </c>
      <c r="K77" s="15" t="str">
        <f>IF(J77="","",IF(J77&lt;&gt;"정상","비용 설정 필요",SUMIFS('3_채널별_비용설정'!$F$6:$F$55,'3_채널별_비용설정'!$C$6:$C$55,D77,'3_채널별_비용설정'!$D$6:$D$55,"&lt;="&amp;B77,'3_채널별_비용설정'!$L$6:$L$55,"&gt;="&amp;B77)))</f>
      </c>
      <c r="L77" s="12" t="str">
        <f>IF(J77="","",IF(J77&lt;&gt;"정상","비용 설정 필요",ROUND(F77*K77,0)))</f>
      </c>
      <c r="M77" s="12" t="str">
        <f>IF(J77="","",IF(J77&lt;&gt;"정상","비용 설정 필요",SUMIFS('3_채널별_비용설정'!$J$6:$J$55,'3_채널별_비용설정'!$C$6:$C$55,D77,'3_채널별_비용설정'!$D$6:$D$55,"&lt;="&amp;B77,'3_채널별_비용설정'!$L$6:$L$55,"&gt;="&amp;B77)))</f>
      </c>
      <c r="N77" s="12" t="str">
        <f>IF(J77="","",IF(J77&lt;&gt;"정상","비용 설정 필요",E77*M77))</f>
      </c>
      <c r="O77" s="12" t="str">
        <f>IF(J77="","",IF(J77&lt;&gt;"정상","비용 설정 필요",G77+L77+N77+H77))</f>
      </c>
      <c r="P77" s="13" t="str">
        <f>IF(J77="","",IF(J77&lt;&gt;"정상","비용 설정 필요",F77-O77))</f>
      </c>
      <c r="Q77" s="14" t="str">
        <f>IF(J77="","",IF(J77&lt;&gt;"정상","비용 설정 필요",IFERROR(P77/F77,0)))</f>
      </c>
    </row>
    <row r="78">
      <c r="B78" s="7"/>
      <c r="C78" s="5"/>
      <c r="D78" s="5"/>
      <c r="E78" s="8"/>
      <c r="F78" s="8"/>
      <c r="G78" s="8"/>
      <c r="H78" s="8"/>
      <c r="I78" s="6"/>
      <c r="J78" s="10" t="str">
        <f>IF(AND(B78="",C78="",D78=""),"",IF(OR(B78="",D78=""),"비용 설정 필요",IF(COUNTIFS('3_채널별_비용설정'!$C$6:$C$55,D78,'3_채널별_비용설정'!$D$6:$D$55,"&lt;="&amp;B78,'3_채널별_비용설정'!$L$6:$L$55,"&gt;="&amp;B78)=0,"비용 설정 필요",IF(COUNTIFS('3_채널별_비용설정'!$C$6:$C$55,D78,'3_채널별_비용설정'!$D$6:$D$55,"&lt;="&amp;B78,'3_채널별_비용설정'!$L$6:$L$55,"&gt;="&amp;B78)&gt;1,"기간 중복 확인","정상"))))</f>
      </c>
      <c r="K78" s="15" t="str">
        <f>IF(J78="","",IF(J78&lt;&gt;"정상","비용 설정 필요",SUMIFS('3_채널별_비용설정'!$F$6:$F$55,'3_채널별_비용설정'!$C$6:$C$55,D78,'3_채널별_비용설정'!$D$6:$D$55,"&lt;="&amp;B78,'3_채널별_비용설정'!$L$6:$L$55,"&gt;="&amp;B78)))</f>
      </c>
      <c r="L78" s="12" t="str">
        <f>IF(J78="","",IF(J78&lt;&gt;"정상","비용 설정 필요",ROUND(F78*K78,0)))</f>
      </c>
      <c r="M78" s="12" t="str">
        <f>IF(J78="","",IF(J78&lt;&gt;"정상","비용 설정 필요",SUMIFS('3_채널별_비용설정'!$J$6:$J$55,'3_채널별_비용설정'!$C$6:$C$55,D78,'3_채널별_비용설정'!$D$6:$D$55,"&lt;="&amp;B78,'3_채널별_비용설정'!$L$6:$L$55,"&gt;="&amp;B78)))</f>
      </c>
      <c r="N78" s="12" t="str">
        <f>IF(J78="","",IF(J78&lt;&gt;"정상","비용 설정 필요",E78*M78))</f>
      </c>
      <c r="O78" s="12" t="str">
        <f>IF(J78="","",IF(J78&lt;&gt;"정상","비용 설정 필요",G78+L78+N78+H78))</f>
      </c>
      <c r="P78" s="13" t="str">
        <f>IF(J78="","",IF(J78&lt;&gt;"정상","비용 설정 필요",F78-O78))</f>
      </c>
      <c r="Q78" s="14" t="str">
        <f>IF(J78="","",IF(J78&lt;&gt;"정상","비용 설정 필요",IFERROR(P78/F78,0)))</f>
      </c>
    </row>
    <row r="79">
      <c r="B79" s="7"/>
      <c r="C79" s="5"/>
      <c r="D79" s="5"/>
      <c r="E79" s="8"/>
      <c r="F79" s="8"/>
      <c r="G79" s="8"/>
      <c r="H79" s="8"/>
      <c r="I79" s="6"/>
      <c r="J79" s="10" t="str">
        <f>IF(AND(B79="",C79="",D79=""),"",IF(OR(B79="",D79=""),"비용 설정 필요",IF(COUNTIFS('3_채널별_비용설정'!$C$6:$C$55,D79,'3_채널별_비용설정'!$D$6:$D$55,"&lt;="&amp;B79,'3_채널별_비용설정'!$L$6:$L$55,"&gt;="&amp;B79)=0,"비용 설정 필요",IF(COUNTIFS('3_채널별_비용설정'!$C$6:$C$55,D79,'3_채널별_비용설정'!$D$6:$D$55,"&lt;="&amp;B79,'3_채널별_비용설정'!$L$6:$L$55,"&gt;="&amp;B79)&gt;1,"기간 중복 확인","정상"))))</f>
      </c>
      <c r="K79" s="15" t="str">
        <f>IF(J79="","",IF(J79&lt;&gt;"정상","비용 설정 필요",SUMIFS('3_채널별_비용설정'!$F$6:$F$55,'3_채널별_비용설정'!$C$6:$C$55,D79,'3_채널별_비용설정'!$D$6:$D$55,"&lt;="&amp;B79,'3_채널별_비용설정'!$L$6:$L$55,"&gt;="&amp;B79)))</f>
      </c>
      <c r="L79" s="12" t="str">
        <f>IF(J79="","",IF(J79&lt;&gt;"정상","비용 설정 필요",ROUND(F79*K79,0)))</f>
      </c>
      <c r="M79" s="12" t="str">
        <f>IF(J79="","",IF(J79&lt;&gt;"정상","비용 설정 필요",SUMIFS('3_채널별_비용설정'!$J$6:$J$55,'3_채널별_비용설정'!$C$6:$C$55,D79,'3_채널별_비용설정'!$D$6:$D$55,"&lt;="&amp;B79,'3_채널별_비용설정'!$L$6:$L$55,"&gt;="&amp;B79)))</f>
      </c>
      <c r="N79" s="12" t="str">
        <f>IF(J79="","",IF(J79&lt;&gt;"정상","비용 설정 필요",E79*M79))</f>
      </c>
      <c r="O79" s="12" t="str">
        <f>IF(J79="","",IF(J79&lt;&gt;"정상","비용 설정 필요",G79+L79+N79+H79))</f>
      </c>
      <c r="P79" s="13" t="str">
        <f>IF(J79="","",IF(J79&lt;&gt;"정상","비용 설정 필요",F79-O79))</f>
      </c>
      <c r="Q79" s="14" t="str">
        <f>IF(J79="","",IF(J79&lt;&gt;"정상","비용 설정 필요",IFERROR(P79/F79,0)))</f>
      </c>
    </row>
    <row r="80">
      <c r="B80" s="7"/>
      <c r="C80" s="5"/>
      <c r="D80" s="5"/>
      <c r="E80" s="8"/>
      <c r="F80" s="8"/>
      <c r="G80" s="8"/>
      <c r="H80" s="8"/>
      <c r="I80" s="6"/>
      <c r="J80" s="10" t="str">
        <f>IF(AND(B80="",C80="",D80=""),"",IF(OR(B80="",D80=""),"비용 설정 필요",IF(COUNTIFS('3_채널별_비용설정'!$C$6:$C$55,D80,'3_채널별_비용설정'!$D$6:$D$55,"&lt;="&amp;B80,'3_채널별_비용설정'!$L$6:$L$55,"&gt;="&amp;B80)=0,"비용 설정 필요",IF(COUNTIFS('3_채널별_비용설정'!$C$6:$C$55,D80,'3_채널별_비용설정'!$D$6:$D$55,"&lt;="&amp;B80,'3_채널별_비용설정'!$L$6:$L$55,"&gt;="&amp;B80)&gt;1,"기간 중복 확인","정상"))))</f>
      </c>
      <c r="K80" s="15" t="str">
        <f>IF(J80="","",IF(J80&lt;&gt;"정상","비용 설정 필요",SUMIFS('3_채널별_비용설정'!$F$6:$F$55,'3_채널별_비용설정'!$C$6:$C$55,D80,'3_채널별_비용설정'!$D$6:$D$55,"&lt;="&amp;B80,'3_채널별_비용설정'!$L$6:$L$55,"&gt;="&amp;B80)))</f>
      </c>
      <c r="L80" s="12" t="str">
        <f>IF(J80="","",IF(J80&lt;&gt;"정상","비용 설정 필요",ROUND(F80*K80,0)))</f>
      </c>
      <c r="M80" s="12" t="str">
        <f>IF(J80="","",IF(J80&lt;&gt;"정상","비용 설정 필요",SUMIFS('3_채널별_비용설정'!$J$6:$J$55,'3_채널별_비용설정'!$C$6:$C$55,D80,'3_채널별_비용설정'!$D$6:$D$55,"&lt;="&amp;B80,'3_채널별_비용설정'!$L$6:$L$55,"&gt;="&amp;B80)))</f>
      </c>
      <c r="N80" s="12" t="str">
        <f>IF(J80="","",IF(J80&lt;&gt;"정상","비용 설정 필요",E80*M80))</f>
      </c>
      <c r="O80" s="12" t="str">
        <f>IF(J80="","",IF(J80&lt;&gt;"정상","비용 설정 필요",G80+L80+N80+H80))</f>
      </c>
      <c r="P80" s="13" t="str">
        <f>IF(J80="","",IF(J80&lt;&gt;"정상","비용 설정 필요",F80-O80))</f>
      </c>
      <c r="Q80" s="14" t="str">
        <f>IF(J80="","",IF(J80&lt;&gt;"정상","비용 설정 필요",IFERROR(P80/F80,0)))</f>
      </c>
    </row>
    <row r="81">
      <c r="B81" s="7"/>
      <c r="C81" s="5"/>
      <c r="D81" s="5"/>
      <c r="E81" s="8"/>
      <c r="F81" s="8"/>
      <c r="G81" s="8"/>
      <c r="H81" s="8"/>
      <c r="I81" s="6"/>
      <c r="J81" s="10" t="str">
        <f>IF(AND(B81="",C81="",D81=""),"",IF(OR(B81="",D81=""),"비용 설정 필요",IF(COUNTIFS('3_채널별_비용설정'!$C$6:$C$55,D81,'3_채널별_비용설정'!$D$6:$D$55,"&lt;="&amp;B81,'3_채널별_비용설정'!$L$6:$L$55,"&gt;="&amp;B81)=0,"비용 설정 필요",IF(COUNTIFS('3_채널별_비용설정'!$C$6:$C$55,D81,'3_채널별_비용설정'!$D$6:$D$55,"&lt;="&amp;B81,'3_채널별_비용설정'!$L$6:$L$55,"&gt;="&amp;B81)&gt;1,"기간 중복 확인","정상"))))</f>
      </c>
      <c r="K81" s="15" t="str">
        <f>IF(J81="","",IF(J81&lt;&gt;"정상","비용 설정 필요",SUMIFS('3_채널별_비용설정'!$F$6:$F$55,'3_채널별_비용설정'!$C$6:$C$55,D81,'3_채널별_비용설정'!$D$6:$D$55,"&lt;="&amp;B81,'3_채널별_비용설정'!$L$6:$L$55,"&gt;="&amp;B81)))</f>
      </c>
      <c r="L81" s="12" t="str">
        <f>IF(J81="","",IF(J81&lt;&gt;"정상","비용 설정 필요",ROUND(F81*K81,0)))</f>
      </c>
      <c r="M81" s="12" t="str">
        <f>IF(J81="","",IF(J81&lt;&gt;"정상","비용 설정 필요",SUMIFS('3_채널별_비용설정'!$J$6:$J$55,'3_채널별_비용설정'!$C$6:$C$55,D81,'3_채널별_비용설정'!$D$6:$D$55,"&lt;="&amp;B81,'3_채널별_비용설정'!$L$6:$L$55,"&gt;="&amp;B81)))</f>
      </c>
      <c r="N81" s="12" t="str">
        <f>IF(J81="","",IF(J81&lt;&gt;"정상","비용 설정 필요",E81*M81))</f>
      </c>
      <c r="O81" s="12" t="str">
        <f>IF(J81="","",IF(J81&lt;&gt;"정상","비용 설정 필요",G81+L81+N81+H81))</f>
      </c>
      <c r="P81" s="13" t="str">
        <f>IF(J81="","",IF(J81&lt;&gt;"정상","비용 설정 필요",F81-O81))</f>
      </c>
      <c r="Q81" s="14" t="str">
        <f>IF(J81="","",IF(J81&lt;&gt;"정상","비용 설정 필요",IFERROR(P81/F81,0)))</f>
      </c>
    </row>
    <row r="82">
      <c r="B82" s="7"/>
      <c r="C82" s="5"/>
      <c r="D82" s="5"/>
      <c r="E82" s="8"/>
      <c r="F82" s="8"/>
      <c r="G82" s="8"/>
      <c r="H82" s="8"/>
      <c r="I82" s="6"/>
      <c r="J82" s="10" t="str">
        <f>IF(AND(B82="",C82="",D82=""),"",IF(OR(B82="",D82=""),"비용 설정 필요",IF(COUNTIFS('3_채널별_비용설정'!$C$6:$C$55,D82,'3_채널별_비용설정'!$D$6:$D$55,"&lt;="&amp;B82,'3_채널별_비용설정'!$L$6:$L$55,"&gt;="&amp;B82)=0,"비용 설정 필요",IF(COUNTIFS('3_채널별_비용설정'!$C$6:$C$55,D82,'3_채널별_비용설정'!$D$6:$D$55,"&lt;="&amp;B82,'3_채널별_비용설정'!$L$6:$L$55,"&gt;="&amp;B82)&gt;1,"기간 중복 확인","정상"))))</f>
      </c>
      <c r="K82" s="15" t="str">
        <f>IF(J82="","",IF(J82&lt;&gt;"정상","비용 설정 필요",SUMIFS('3_채널별_비용설정'!$F$6:$F$55,'3_채널별_비용설정'!$C$6:$C$55,D82,'3_채널별_비용설정'!$D$6:$D$55,"&lt;="&amp;B82,'3_채널별_비용설정'!$L$6:$L$55,"&gt;="&amp;B82)))</f>
      </c>
      <c r="L82" s="12" t="str">
        <f>IF(J82="","",IF(J82&lt;&gt;"정상","비용 설정 필요",ROUND(F82*K82,0)))</f>
      </c>
      <c r="M82" s="12" t="str">
        <f>IF(J82="","",IF(J82&lt;&gt;"정상","비용 설정 필요",SUMIFS('3_채널별_비용설정'!$J$6:$J$55,'3_채널별_비용설정'!$C$6:$C$55,D82,'3_채널별_비용설정'!$D$6:$D$55,"&lt;="&amp;B82,'3_채널별_비용설정'!$L$6:$L$55,"&gt;="&amp;B82)))</f>
      </c>
      <c r="N82" s="12" t="str">
        <f>IF(J82="","",IF(J82&lt;&gt;"정상","비용 설정 필요",E82*M82))</f>
      </c>
      <c r="O82" s="12" t="str">
        <f>IF(J82="","",IF(J82&lt;&gt;"정상","비용 설정 필요",G82+L82+N82+H82))</f>
      </c>
      <c r="P82" s="13" t="str">
        <f>IF(J82="","",IF(J82&lt;&gt;"정상","비용 설정 필요",F82-O82))</f>
      </c>
      <c r="Q82" s="14" t="str">
        <f>IF(J82="","",IF(J82&lt;&gt;"정상","비용 설정 필요",IFERROR(P82/F82,0)))</f>
      </c>
    </row>
    <row r="83">
      <c r="B83" s="7"/>
      <c r="C83" s="5"/>
      <c r="D83" s="5"/>
      <c r="E83" s="8"/>
      <c r="F83" s="8"/>
      <c r="G83" s="8"/>
      <c r="H83" s="8"/>
      <c r="I83" s="6"/>
      <c r="J83" s="10" t="str">
        <f>IF(AND(B83="",C83="",D83=""),"",IF(OR(B83="",D83=""),"비용 설정 필요",IF(COUNTIFS('3_채널별_비용설정'!$C$6:$C$55,D83,'3_채널별_비용설정'!$D$6:$D$55,"&lt;="&amp;B83,'3_채널별_비용설정'!$L$6:$L$55,"&gt;="&amp;B83)=0,"비용 설정 필요",IF(COUNTIFS('3_채널별_비용설정'!$C$6:$C$55,D83,'3_채널별_비용설정'!$D$6:$D$55,"&lt;="&amp;B83,'3_채널별_비용설정'!$L$6:$L$55,"&gt;="&amp;B83)&gt;1,"기간 중복 확인","정상"))))</f>
      </c>
      <c r="K83" s="15" t="str">
        <f>IF(J83="","",IF(J83&lt;&gt;"정상","비용 설정 필요",SUMIFS('3_채널별_비용설정'!$F$6:$F$55,'3_채널별_비용설정'!$C$6:$C$55,D83,'3_채널별_비용설정'!$D$6:$D$55,"&lt;="&amp;B83,'3_채널별_비용설정'!$L$6:$L$55,"&gt;="&amp;B83)))</f>
      </c>
      <c r="L83" s="12" t="str">
        <f>IF(J83="","",IF(J83&lt;&gt;"정상","비용 설정 필요",ROUND(F83*K83,0)))</f>
      </c>
      <c r="M83" s="12" t="str">
        <f>IF(J83="","",IF(J83&lt;&gt;"정상","비용 설정 필요",SUMIFS('3_채널별_비용설정'!$J$6:$J$55,'3_채널별_비용설정'!$C$6:$C$55,D83,'3_채널별_비용설정'!$D$6:$D$55,"&lt;="&amp;B83,'3_채널별_비용설정'!$L$6:$L$55,"&gt;="&amp;B83)))</f>
      </c>
      <c r="N83" s="12" t="str">
        <f>IF(J83="","",IF(J83&lt;&gt;"정상","비용 설정 필요",E83*M83))</f>
      </c>
      <c r="O83" s="12" t="str">
        <f>IF(J83="","",IF(J83&lt;&gt;"정상","비용 설정 필요",G83+L83+N83+H83))</f>
      </c>
      <c r="P83" s="13" t="str">
        <f>IF(J83="","",IF(J83&lt;&gt;"정상","비용 설정 필요",F83-O83))</f>
      </c>
      <c r="Q83" s="14" t="str">
        <f>IF(J83="","",IF(J83&lt;&gt;"정상","비용 설정 필요",IFERROR(P83/F83,0)))</f>
      </c>
    </row>
    <row r="84">
      <c r="B84" s="7"/>
      <c r="C84" s="5"/>
      <c r="D84" s="5"/>
      <c r="E84" s="8"/>
      <c r="F84" s="8"/>
      <c r="G84" s="8"/>
      <c r="H84" s="8"/>
      <c r="I84" s="6"/>
      <c r="J84" s="10" t="str">
        <f>IF(AND(B84="",C84="",D84=""),"",IF(OR(B84="",D84=""),"비용 설정 필요",IF(COUNTIFS('3_채널별_비용설정'!$C$6:$C$55,D84,'3_채널별_비용설정'!$D$6:$D$55,"&lt;="&amp;B84,'3_채널별_비용설정'!$L$6:$L$55,"&gt;="&amp;B84)=0,"비용 설정 필요",IF(COUNTIFS('3_채널별_비용설정'!$C$6:$C$55,D84,'3_채널별_비용설정'!$D$6:$D$55,"&lt;="&amp;B84,'3_채널별_비용설정'!$L$6:$L$55,"&gt;="&amp;B84)&gt;1,"기간 중복 확인","정상"))))</f>
      </c>
      <c r="K84" s="15" t="str">
        <f>IF(J84="","",IF(J84&lt;&gt;"정상","비용 설정 필요",SUMIFS('3_채널별_비용설정'!$F$6:$F$55,'3_채널별_비용설정'!$C$6:$C$55,D84,'3_채널별_비용설정'!$D$6:$D$55,"&lt;="&amp;B84,'3_채널별_비용설정'!$L$6:$L$55,"&gt;="&amp;B84)))</f>
      </c>
      <c r="L84" s="12" t="str">
        <f>IF(J84="","",IF(J84&lt;&gt;"정상","비용 설정 필요",ROUND(F84*K84,0)))</f>
      </c>
      <c r="M84" s="12" t="str">
        <f>IF(J84="","",IF(J84&lt;&gt;"정상","비용 설정 필요",SUMIFS('3_채널별_비용설정'!$J$6:$J$55,'3_채널별_비용설정'!$C$6:$C$55,D84,'3_채널별_비용설정'!$D$6:$D$55,"&lt;="&amp;B84,'3_채널별_비용설정'!$L$6:$L$55,"&gt;="&amp;B84)))</f>
      </c>
      <c r="N84" s="12" t="str">
        <f>IF(J84="","",IF(J84&lt;&gt;"정상","비용 설정 필요",E84*M84))</f>
      </c>
      <c r="O84" s="12" t="str">
        <f>IF(J84="","",IF(J84&lt;&gt;"정상","비용 설정 필요",G84+L84+N84+H84))</f>
      </c>
      <c r="P84" s="13" t="str">
        <f>IF(J84="","",IF(J84&lt;&gt;"정상","비용 설정 필요",F84-O84))</f>
      </c>
      <c r="Q84" s="14" t="str">
        <f>IF(J84="","",IF(J84&lt;&gt;"정상","비용 설정 필요",IFERROR(P84/F84,0)))</f>
      </c>
    </row>
    <row r="85">
      <c r="B85" s="7"/>
      <c r="C85" s="5"/>
      <c r="D85" s="5"/>
      <c r="E85" s="8"/>
      <c r="F85" s="8"/>
      <c r="G85" s="8"/>
      <c r="H85" s="8"/>
      <c r="I85" s="6"/>
      <c r="J85" s="10" t="str">
        <f>IF(AND(B85="",C85="",D85=""),"",IF(OR(B85="",D85=""),"비용 설정 필요",IF(COUNTIFS('3_채널별_비용설정'!$C$6:$C$55,D85,'3_채널별_비용설정'!$D$6:$D$55,"&lt;="&amp;B85,'3_채널별_비용설정'!$L$6:$L$55,"&gt;="&amp;B85)=0,"비용 설정 필요",IF(COUNTIFS('3_채널별_비용설정'!$C$6:$C$55,D85,'3_채널별_비용설정'!$D$6:$D$55,"&lt;="&amp;B85,'3_채널별_비용설정'!$L$6:$L$55,"&gt;="&amp;B85)&gt;1,"기간 중복 확인","정상"))))</f>
      </c>
      <c r="K85" s="15" t="str">
        <f>IF(J85="","",IF(J85&lt;&gt;"정상","비용 설정 필요",SUMIFS('3_채널별_비용설정'!$F$6:$F$55,'3_채널별_비용설정'!$C$6:$C$55,D85,'3_채널별_비용설정'!$D$6:$D$55,"&lt;="&amp;B85,'3_채널별_비용설정'!$L$6:$L$55,"&gt;="&amp;B85)))</f>
      </c>
      <c r="L85" s="12" t="str">
        <f>IF(J85="","",IF(J85&lt;&gt;"정상","비용 설정 필요",ROUND(F85*K85,0)))</f>
      </c>
      <c r="M85" s="12" t="str">
        <f>IF(J85="","",IF(J85&lt;&gt;"정상","비용 설정 필요",SUMIFS('3_채널별_비용설정'!$J$6:$J$55,'3_채널별_비용설정'!$C$6:$C$55,D85,'3_채널별_비용설정'!$D$6:$D$55,"&lt;="&amp;B85,'3_채널별_비용설정'!$L$6:$L$55,"&gt;="&amp;B85)))</f>
      </c>
      <c r="N85" s="12" t="str">
        <f>IF(J85="","",IF(J85&lt;&gt;"정상","비용 설정 필요",E85*M85))</f>
      </c>
      <c r="O85" s="12" t="str">
        <f>IF(J85="","",IF(J85&lt;&gt;"정상","비용 설정 필요",G85+L85+N85+H85))</f>
      </c>
      <c r="P85" s="13" t="str">
        <f>IF(J85="","",IF(J85&lt;&gt;"정상","비용 설정 필요",F85-O85))</f>
      </c>
      <c r="Q85" s="14" t="str">
        <f>IF(J85="","",IF(J85&lt;&gt;"정상","비용 설정 필요",IFERROR(P85/F85,0)))</f>
      </c>
    </row>
    <row r="86">
      <c r="B86" s="7"/>
      <c r="C86" s="5"/>
      <c r="D86" s="5"/>
      <c r="E86" s="8"/>
      <c r="F86" s="8"/>
      <c r="G86" s="8"/>
      <c r="H86" s="8"/>
      <c r="I86" s="6"/>
      <c r="J86" s="10" t="str">
        <f>IF(AND(B86="",C86="",D86=""),"",IF(OR(B86="",D86=""),"비용 설정 필요",IF(COUNTIFS('3_채널별_비용설정'!$C$6:$C$55,D86,'3_채널별_비용설정'!$D$6:$D$55,"&lt;="&amp;B86,'3_채널별_비용설정'!$L$6:$L$55,"&gt;="&amp;B86)=0,"비용 설정 필요",IF(COUNTIFS('3_채널별_비용설정'!$C$6:$C$55,D86,'3_채널별_비용설정'!$D$6:$D$55,"&lt;="&amp;B86,'3_채널별_비용설정'!$L$6:$L$55,"&gt;="&amp;B86)&gt;1,"기간 중복 확인","정상"))))</f>
      </c>
      <c r="K86" s="15" t="str">
        <f>IF(J86="","",IF(J86&lt;&gt;"정상","비용 설정 필요",SUMIFS('3_채널별_비용설정'!$F$6:$F$55,'3_채널별_비용설정'!$C$6:$C$55,D86,'3_채널별_비용설정'!$D$6:$D$55,"&lt;="&amp;B86,'3_채널별_비용설정'!$L$6:$L$55,"&gt;="&amp;B86)))</f>
      </c>
      <c r="L86" s="12" t="str">
        <f>IF(J86="","",IF(J86&lt;&gt;"정상","비용 설정 필요",ROUND(F86*K86,0)))</f>
      </c>
      <c r="M86" s="12" t="str">
        <f>IF(J86="","",IF(J86&lt;&gt;"정상","비용 설정 필요",SUMIFS('3_채널별_비용설정'!$J$6:$J$55,'3_채널별_비용설정'!$C$6:$C$55,D86,'3_채널별_비용설정'!$D$6:$D$55,"&lt;="&amp;B86,'3_채널별_비용설정'!$L$6:$L$55,"&gt;="&amp;B86)))</f>
      </c>
      <c r="N86" s="12" t="str">
        <f>IF(J86="","",IF(J86&lt;&gt;"정상","비용 설정 필요",E86*M86))</f>
      </c>
      <c r="O86" s="12" t="str">
        <f>IF(J86="","",IF(J86&lt;&gt;"정상","비용 설정 필요",G86+L86+N86+H86))</f>
      </c>
      <c r="P86" s="13" t="str">
        <f>IF(J86="","",IF(J86&lt;&gt;"정상","비용 설정 필요",F86-O86))</f>
      </c>
      <c r="Q86" s="14" t="str">
        <f>IF(J86="","",IF(J86&lt;&gt;"정상","비용 설정 필요",IFERROR(P86/F86,0)))</f>
      </c>
    </row>
    <row r="87">
      <c r="B87" s="7"/>
      <c r="C87" s="5"/>
      <c r="D87" s="5"/>
      <c r="E87" s="8"/>
      <c r="F87" s="8"/>
      <c r="G87" s="8"/>
      <c r="H87" s="8"/>
      <c r="I87" s="6"/>
      <c r="J87" s="10" t="str">
        <f>IF(AND(B87="",C87="",D87=""),"",IF(OR(B87="",D87=""),"비용 설정 필요",IF(COUNTIFS('3_채널별_비용설정'!$C$6:$C$55,D87,'3_채널별_비용설정'!$D$6:$D$55,"&lt;="&amp;B87,'3_채널별_비용설정'!$L$6:$L$55,"&gt;="&amp;B87)=0,"비용 설정 필요",IF(COUNTIFS('3_채널별_비용설정'!$C$6:$C$55,D87,'3_채널별_비용설정'!$D$6:$D$55,"&lt;="&amp;B87,'3_채널별_비용설정'!$L$6:$L$55,"&gt;="&amp;B87)&gt;1,"기간 중복 확인","정상"))))</f>
      </c>
      <c r="K87" s="15" t="str">
        <f>IF(J87="","",IF(J87&lt;&gt;"정상","비용 설정 필요",SUMIFS('3_채널별_비용설정'!$F$6:$F$55,'3_채널별_비용설정'!$C$6:$C$55,D87,'3_채널별_비용설정'!$D$6:$D$55,"&lt;="&amp;B87,'3_채널별_비용설정'!$L$6:$L$55,"&gt;="&amp;B87)))</f>
      </c>
      <c r="L87" s="12" t="str">
        <f>IF(J87="","",IF(J87&lt;&gt;"정상","비용 설정 필요",ROUND(F87*K87,0)))</f>
      </c>
      <c r="M87" s="12" t="str">
        <f>IF(J87="","",IF(J87&lt;&gt;"정상","비용 설정 필요",SUMIFS('3_채널별_비용설정'!$J$6:$J$55,'3_채널별_비용설정'!$C$6:$C$55,D87,'3_채널별_비용설정'!$D$6:$D$55,"&lt;="&amp;B87,'3_채널별_비용설정'!$L$6:$L$55,"&gt;="&amp;B87)))</f>
      </c>
      <c r="N87" s="12" t="str">
        <f>IF(J87="","",IF(J87&lt;&gt;"정상","비용 설정 필요",E87*M87))</f>
      </c>
      <c r="O87" s="12" t="str">
        <f>IF(J87="","",IF(J87&lt;&gt;"정상","비용 설정 필요",G87+L87+N87+H87))</f>
      </c>
      <c r="P87" s="13" t="str">
        <f>IF(J87="","",IF(J87&lt;&gt;"정상","비용 설정 필요",F87-O87))</f>
      </c>
      <c r="Q87" s="14" t="str">
        <f>IF(J87="","",IF(J87&lt;&gt;"정상","비용 설정 필요",IFERROR(P87/F87,0)))</f>
      </c>
    </row>
    <row r="88">
      <c r="B88" s="7"/>
      <c r="C88" s="5"/>
      <c r="D88" s="5"/>
      <c r="E88" s="8"/>
      <c r="F88" s="8"/>
      <c r="G88" s="8"/>
      <c r="H88" s="8"/>
      <c r="I88" s="6"/>
      <c r="J88" s="10" t="str">
        <f>IF(AND(B88="",C88="",D88=""),"",IF(OR(B88="",D88=""),"비용 설정 필요",IF(COUNTIFS('3_채널별_비용설정'!$C$6:$C$55,D88,'3_채널별_비용설정'!$D$6:$D$55,"&lt;="&amp;B88,'3_채널별_비용설정'!$L$6:$L$55,"&gt;="&amp;B88)=0,"비용 설정 필요",IF(COUNTIFS('3_채널별_비용설정'!$C$6:$C$55,D88,'3_채널별_비용설정'!$D$6:$D$55,"&lt;="&amp;B88,'3_채널별_비용설정'!$L$6:$L$55,"&gt;="&amp;B88)&gt;1,"기간 중복 확인","정상"))))</f>
      </c>
      <c r="K88" s="15" t="str">
        <f>IF(J88="","",IF(J88&lt;&gt;"정상","비용 설정 필요",SUMIFS('3_채널별_비용설정'!$F$6:$F$55,'3_채널별_비용설정'!$C$6:$C$55,D88,'3_채널별_비용설정'!$D$6:$D$55,"&lt;="&amp;B88,'3_채널별_비용설정'!$L$6:$L$55,"&gt;="&amp;B88)))</f>
      </c>
      <c r="L88" s="12" t="str">
        <f>IF(J88="","",IF(J88&lt;&gt;"정상","비용 설정 필요",ROUND(F88*K88,0)))</f>
      </c>
      <c r="M88" s="12" t="str">
        <f>IF(J88="","",IF(J88&lt;&gt;"정상","비용 설정 필요",SUMIFS('3_채널별_비용설정'!$J$6:$J$55,'3_채널별_비용설정'!$C$6:$C$55,D88,'3_채널별_비용설정'!$D$6:$D$55,"&lt;="&amp;B88,'3_채널별_비용설정'!$L$6:$L$55,"&gt;="&amp;B88)))</f>
      </c>
      <c r="N88" s="12" t="str">
        <f>IF(J88="","",IF(J88&lt;&gt;"정상","비용 설정 필요",E88*M88))</f>
      </c>
      <c r="O88" s="12" t="str">
        <f>IF(J88="","",IF(J88&lt;&gt;"정상","비용 설정 필요",G88+L88+N88+H88))</f>
      </c>
      <c r="P88" s="13" t="str">
        <f>IF(J88="","",IF(J88&lt;&gt;"정상","비용 설정 필요",F88-O88))</f>
      </c>
      <c r="Q88" s="14" t="str">
        <f>IF(J88="","",IF(J88&lt;&gt;"정상","비용 설정 필요",IFERROR(P88/F88,0)))</f>
      </c>
    </row>
    <row r="89">
      <c r="B89" s="7"/>
      <c r="C89" s="5"/>
      <c r="D89" s="5"/>
      <c r="E89" s="8"/>
      <c r="F89" s="8"/>
      <c r="G89" s="8"/>
      <c r="H89" s="8"/>
      <c r="I89" s="6"/>
      <c r="J89" s="10" t="str">
        <f>IF(AND(B89="",C89="",D89=""),"",IF(OR(B89="",D89=""),"비용 설정 필요",IF(COUNTIFS('3_채널별_비용설정'!$C$6:$C$55,D89,'3_채널별_비용설정'!$D$6:$D$55,"&lt;="&amp;B89,'3_채널별_비용설정'!$L$6:$L$55,"&gt;="&amp;B89)=0,"비용 설정 필요",IF(COUNTIFS('3_채널별_비용설정'!$C$6:$C$55,D89,'3_채널별_비용설정'!$D$6:$D$55,"&lt;="&amp;B89,'3_채널별_비용설정'!$L$6:$L$55,"&gt;="&amp;B89)&gt;1,"기간 중복 확인","정상"))))</f>
      </c>
      <c r="K89" s="15" t="str">
        <f>IF(J89="","",IF(J89&lt;&gt;"정상","비용 설정 필요",SUMIFS('3_채널별_비용설정'!$F$6:$F$55,'3_채널별_비용설정'!$C$6:$C$55,D89,'3_채널별_비용설정'!$D$6:$D$55,"&lt;="&amp;B89,'3_채널별_비용설정'!$L$6:$L$55,"&gt;="&amp;B89)))</f>
      </c>
      <c r="L89" s="12" t="str">
        <f>IF(J89="","",IF(J89&lt;&gt;"정상","비용 설정 필요",ROUND(F89*K89,0)))</f>
      </c>
      <c r="M89" s="12" t="str">
        <f>IF(J89="","",IF(J89&lt;&gt;"정상","비용 설정 필요",SUMIFS('3_채널별_비용설정'!$J$6:$J$55,'3_채널별_비용설정'!$C$6:$C$55,D89,'3_채널별_비용설정'!$D$6:$D$55,"&lt;="&amp;B89,'3_채널별_비용설정'!$L$6:$L$55,"&gt;="&amp;B89)))</f>
      </c>
      <c r="N89" s="12" t="str">
        <f>IF(J89="","",IF(J89&lt;&gt;"정상","비용 설정 필요",E89*M89))</f>
      </c>
      <c r="O89" s="12" t="str">
        <f>IF(J89="","",IF(J89&lt;&gt;"정상","비용 설정 필요",G89+L89+N89+H89))</f>
      </c>
      <c r="P89" s="13" t="str">
        <f>IF(J89="","",IF(J89&lt;&gt;"정상","비용 설정 필요",F89-O89))</f>
      </c>
      <c r="Q89" s="14" t="str">
        <f>IF(J89="","",IF(J89&lt;&gt;"정상","비용 설정 필요",IFERROR(P89/F89,0)))</f>
      </c>
    </row>
    <row r="90">
      <c r="B90" s="7"/>
      <c r="C90" s="5"/>
      <c r="D90" s="5"/>
      <c r="E90" s="8"/>
      <c r="F90" s="8"/>
      <c r="G90" s="8"/>
      <c r="H90" s="8"/>
      <c r="I90" s="6"/>
      <c r="J90" s="10" t="str">
        <f>IF(AND(B90="",C90="",D90=""),"",IF(OR(B90="",D90=""),"비용 설정 필요",IF(COUNTIFS('3_채널별_비용설정'!$C$6:$C$55,D90,'3_채널별_비용설정'!$D$6:$D$55,"&lt;="&amp;B90,'3_채널별_비용설정'!$L$6:$L$55,"&gt;="&amp;B90)=0,"비용 설정 필요",IF(COUNTIFS('3_채널별_비용설정'!$C$6:$C$55,D90,'3_채널별_비용설정'!$D$6:$D$55,"&lt;="&amp;B90,'3_채널별_비용설정'!$L$6:$L$55,"&gt;="&amp;B90)&gt;1,"기간 중복 확인","정상"))))</f>
      </c>
      <c r="K90" s="15" t="str">
        <f>IF(J90="","",IF(J90&lt;&gt;"정상","비용 설정 필요",SUMIFS('3_채널별_비용설정'!$F$6:$F$55,'3_채널별_비용설정'!$C$6:$C$55,D90,'3_채널별_비용설정'!$D$6:$D$55,"&lt;="&amp;B90,'3_채널별_비용설정'!$L$6:$L$55,"&gt;="&amp;B90)))</f>
      </c>
      <c r="L90" s="12" t="str">
        <f>IF(J90="","",IF(J90&lt;&gt;"정상","비용 설정 필요",ROUND(F90*K90,0)))</f>
      </c>
      <c r="M90" s="12" t="str">
        <f>IF(J90="","",IF(J90&lt;&gt;"정상","비용 설정 필요",SUMIFS('3_채널별_비용설정'!$J$6:$J$55,'3_채널별_비용설정'!$C$6:$C$55,D90,'3_채널별_비용설정'!$D$6:$D$55,"&lt;="&amp;B90,'3_채널별_비용설정'!$L$6:$L$55,"&gt;="&amp;B90)))</f>
      </c>
      <c r="N90" s="12" t="str">
        <f>IF(J90="","",IF(J90&lt;&gt;"정상","비용 설정 필요",E90*M90))</f>
      </c>
      <c r="O90" s="12" t="str">
        <f>IF(J90="","",IF(J90&lt;&gt;"정상","비용 설정 필요",G90+L90+N90+H90))</f>
      </c>
      <c r="P90" s="13" t="str">
        <f>IF(J90="","",IF(J90&lt;&gt;"정상","비용 설정 필요",F90-O90))</f>
      </c>
      <c r="Q90" s="14" t="str">
        <f>IF(J90="","",IF(J90&lt;&gt;"정상","비용 설정 필요",IFERROR(P90/F90,0)))</f>
      </c>
    </row>
    <row r="91">
      <c r="B91" s="7"/>
      <c r="C91" s="5"/>
      <c r="D91" s="5"/>
      <c r="E91" s="8"/>
      <c r="F91" s="8"/>
      <c r="G91" s="8"/>
      <c r="H91" s="8"/>
      <c r="I91" s="6"/>
      <c r="J91" s="10" t="str">
        <f>IF(AND(B91="",C91="",D91=""),"",IF(OR(B91="",D91=""),"비용 설정 필요",IF(COUNTIFS('3_채널별_비용설정'!$C$6:$C$55,D91,'3_채널별_비용설정'!$D$6:$D$55,"&lt;="&amp;B91,'3_채널별_비용설정'!$L$6:$L$55,"&gt;="&amp;B91)=0,"비용 설정 필요",IF(COUNTIFS('3_채널별_비용설정'!$C$6:$C$55,D91,'3_채널별_비용설정'!$D$6:$D$55,"&lt;="&amp;B91,'3_채널별_비용설정'!$L$6:$L$55,"&gt;="&amp;B91)&gt;1,"기간 중복 확인","정상"))))</f>
      </c>
      <c r="K91" s="15" t="str">
        <f>IF(J91="","",IF(J91&lt;&gt;"정상","비용 설정 필요",SUMIFS('3_채널별_비용설정'!$F$6:$F$55,'3_채널별_비용설정'!$C$6:$C$55,D91,'3_채널별_비용설정'!$D$6:$D$55,"&lt;="&amp;B91,'3_채널별_비용설정'!$L$6:$L$55,"&gt;="&amp;B91)))</f>
      </c>
      <c r="L91" s="12" t="str">
        <f>IF(J91="","",IF(J91&lt;&gt;"정상","비용 설정 필요",ROUND(F91*K91,0)))</f>
      </c>
      <c r="M91" s="12" t="str">
        <f>IF(J91="","",IF(J91&lt;&gt;"정상","비용 설정 필요",SUMIFS('3_채널별_비용설정'!$J$6:$J$55,'3_채널별_비용설정'!$C$6:$C$55,D91,'3_채널별_비용설정'!$D$6:$D$55,"&lt;="&amp;B91,'3_채널별_비용설정'!$L$6:$L$55,"&gt;="&amp;B91)))</f>
      </c>
      <c r="N91" s="12" t="str">
        <f>IF(J91="","",IF(J91&lt;&gt;"정상","비용 설정 필요",E91*M91))</f>
      </c>
      <c r="O91" s="12" t="str">
        <f>IF(J91="","",IF(J91&lt;&gt;"정상","비용 설정 필요",G91+L91+N91+H91))</f>
      </c>
      <c r="P91" s="13" t="str">
        <f>IF(J91="","",IF(J91&lt;&gt;"정상","비용 설정 필요",F91-O91))</f>
      </c>
      <c r="Q91" s="14" t="str">
        <f>IF(J91="","",IF(J91&lt;&gt;"정상","비용 설정 필요",IFERROR(P91/F91,0)))</f>
      </c>
    </row>
    <row r="92">
      <c r="B92" s="7"/>
      <c r="C92" s="5"/>
      <c r="D92" s="5"/>
      <c r="E92" s="8"/>
      <c r="F92" s="8"/>
      <c r="G92" s="8"/>
      <c r="H92" s="8"/>
      <c r="I92" s="6"/>
      <c r="J92" s="10" t="str">
        <f>IF(AND(B92="",C92="",D92=""),"",IF(OR(B92="",D92=""),"비용 설정 필요",IF(COUNTIFS('3_채널별_비용설정'!$C$6:$C$55,D92,'3_채널별_비용설정'!$D$6:$D$55,"&lt;="&amp;B92,'3_채널별_비용설정'!$L$6:$L$55,"&gt;="&amp;B92)=0,"비용 설정 필요",IF(COUNTIFS('3_채널별_비용설정'!$C$6:$C$55,D92,'3_채널별_비용설정'!$D$6:$D$55,"&lt;="&amp;B92,'3_채널별_비용설정'!$L$6:$L$55,"&gt;="&amp;B92)&gt;1,"기간 중복 확인","정상"))))</f>
      </c>
      <c r="K92" s="15" t="str">
        <f>IF(J92="","",IF(J92&lt;&gt;"정상","비용 설정 필요",SUMIFS('3_채널별_비용설정'!$F$6:$F$55,'3_채널별_비용설정'!$C$6:$C$55,D92,'3_채널별_비용설정'!$D$6:$D$55,"&lt;="&amp;B92,'3_채널별_비용설정'!$L$6:$L$55,"&gt;="&amp;B92)))</f>
      </c>
      <c r="L92" s="12" t="str">
        <f>IF(J92="","",IF(J92&lt;&gt;"정상","비용 설정 필요",ROUND(F92*K92,0)))</f>
      </c>
      <c r="M92" s="12" t="str">
        <f>IF(J92="","",IF(J92&lt;&gt;"정상","비용 설정 필요",SUMIFS('3_채널별_비용설정'!$J$6:$J$55,'3_채널별_비용설정'!$C$6:$C$55,D92,'3_채널별_비용설정'!$D$6:$D$55,"&lt;="&amp;B92,'3_채널별_비용설정'!$L$6:$L$55,"&gt;="&amp;B92)))</f>
      </c>
      <c r="N92" s="12" t="str">
        <f>IF(J92="","",IF(J92&lt;&gt;"정상","비용 설정 필요",E92*M92))</f>
      </c>
      <c r="O92" s="12" t="str">
        <f>IF(J92="","",IF(J92&lt;&gt;"정상","비용 설정 필요",G92+L92+N92+H92))</f>
      </c>
      <c r="P92" s="13" t="str">
        <f>IF(J92="","",IF(J92&lt;&gt;"정상","비용 설정 필요",F92-O92))</f>
      </c>
      <c r="Q92" s="14" t="str">
        <f>IF(J92="","",IF(J92&lt;&gt;"정상","비용 설정 필요",IFERROR(P92/F92,0)))</f>
      </c>
    </row>
    <row r="93">
      <c r="B93" s="7"/>
      <c r="C93" s="5"/>
      <c r="D93" s="5"/>
      <c r="E93" s="8"/>
      <c r="F93" s="8"/>
      <c r="G93" s="8"/>
      <c r="H93" s="8"/>
      <c r="I93" s="6"/>
      <c r="J93" s="10" t="str">
        <f>IF(AND(B93="",C93="",D93=""),"",IF(OR(B93="",D93=""),"비용 설정 필요",IF(COUNTIFS('3_채널별_비용설정'!$C$6:$C$55,D93,'3_채널별_비용설정'!$D$6:$D$55,"&lt;="&amp;B93,'3_채널별_비용설정'!$L$6:$L$55,"&gt;="&amp;B93)=0,"비용 설정 필요",IF(COUNTIFS('3_채널별_비용설정'!$C$6:$C$55,D93,'3_채널별_비용설정'!$D$6:$D$55,"&lt;="&amp;B93,'3_채널별_비용설정'!$L$6:$L$55,"&gt;="&amp;B93)&gt;1,"기간 중복 확인","정상"))))</f>
      </c>
      <c r="K93" s="15" t="str">
        <f>IF(J93="","",IF(J93&lt;&gt;"정상","비용 설정 필요",SUMIFS('3_채널별_비용설정'!$F$6:$F$55,'3_채널별_비용설정'!$C$6:$C$55,D93,'3_채널별_비용설정'!$D$6:$D$55,"&lt;="&amp;B93,'3_채널별_비용설정'!$L$6:$L$55,"&gt;="&amp;B93)))</f>
      </c>
      <c r="L93" s="12" t="str">
        <f>IF(J93="","",IF(J93&lt;&gt;"정상","비용 설정 필요",ROUND(F93*K93,0)))</f>
      </c>
      <c r="M93" s="12" t="str">
        <f>IF(J93="","",IF(J93&lt;&gt;"정상","비용 설정 필요",SUMIFS('3_채널별_비용설정'!$J$6:$J$55,'3_채널별_비용설정'!$C$6:$C$55,D93,'3_채널별_비용설정'!$D$6:$D$55,"&lt;="&amp;B93,'3_채널별_비용설정'!$L$6:$L$55,"&gt;="&amp;B93)))</f>
      </c>
      <c r="N93" s="12" t="str">
        <f>IF(J93="","",IF(J93&lt;&gt;"정상","비용 설정 필요",E93*M93))</f>
      </c>
      <c r="O93" s="12" t="str">
        <f>IF(J93="","",IF(J93&lt;&gt;"정상","비용 설정 필요",G93+L93+N93+H93))</f>
      </c>
      <c r="P93" s="13" t="str">
        <f>IF(J93="","",IF(J93&lt;&gt;"정상","비용 설정 필요",F93-O93))</f>
      </c>
      <c r="Q93" s="14" t="str">
        <f>IF(J93="","",IF(J93&lt;&gt;"정상","비용 설정 필요",IFERROR(P93/F93,0)))</f>
      </c>
    </row>
    <row r="94">
      <c r="B94" s="7"/>
      <c r="C94" s="5"/>
      <c r="D94" s="5"/>
      <c r="E94" s="8"/>
      <c r="F94" s="8"/>
      <c r="G94" s="8"/>
      <c r="H94" s="8"/>
      <c r="I94" s="6"/>
      <c r="J94" s="10" t="str">
        <f>IF(AND(B94="",C94="",D94=""),"",IF(OR(B94="",D94=""),"비용 설정 필요",IF(COUNTIFS('3_채널별_비용설정'!$C$6:$C$55,D94,'3_채널별_비용설정'!$D$6:$D$55,"&lt;="&amp;B94,'3_채널별_비용설정'!$L$6:$L$55,"&gt;="&amp;B94)=0,"비용 설정 필요",IF(COUNTIFS('3_채널별_비용설정'!$C$6:$C$55,D94,'3_채널별_비용설정'!$D$6:$D$55,"&lt;="&amp;B94,'3_채널별_비용설정'!$L$6:$L$55,"&gt;="&amp;B94)&gt;1,"기간 중복 확인","정상"))))</f>
      </c>
      <c r="K94" s="15" t="str">
        <f>IF(J94="","",IF(J94&lt;&gt;"정상","비용 설정 필요",SUMIFS('3_채널별_비용설정'!$F$6:$F$55,'3_채널별_비용설정'!$C$6:$C$55,D94,'3_채널별_비용설정'!$D$6:$D$55,"&lt;="&amp;B94,'3_채널별_비용설정'!$L$6:$L$55,"&gt;="&amp;B94)))</f>
      </c>
      <c r="L94" s="12" t="str">
        <f>IF(J94="","",IF(J94&lt;&gt;"정상","비용 설정 필요",ROUND(F94*K94,0)))</f>
      </c>
      <c r="M94" s="12" t="str">
        <f>IF(J94="","",IF(J94&lt;&gt;"정상","비용 설정 필요",SUMIFS('3_채널별_비용설정'!$J$6:$J$55,'3_채널별_비용설정'!$C$6:$C$55,D94,'3_채널별_비용설정'!$D$6:$D$55,"&lt;="&amp;B94,'3_채널별_비용설정'!$L$6:$L$55,"&gt;="&amp;B94)))</f>
      </c>
      <c r="N94" s="12" t="str">
        <f>IF(J94="","",IF(J94&lt;&gt;"정상","비용 설정 필요",E94*M94))</f>
      </c>
      <c r="O94" s="12" t="str">
        <f>IF(J94="","",IF(J94&lt;&gt;"정상","비용 설정 필요",G94+L94+N94+H94))</f>
      </c>
      <c r="P94" s="13" t="str">
        <f>IF(J94="","",IF(J94&lt;&gt;"정상","비용 설정 필요",F94-O94))</f>
      </c>
      <c r="Q94" s="14" t="str">
        <f>IF(J94="","",IF(J94&lt;&gt;"정상","비용 설정 필요",IFERROR(P94/F94,0)))</f>
      </c>
    </row>
    <row r="95">
      <c r="B95" s="7"/>
      <c r="C95" s="5"/>
      <c r="D95" s="5"/>
      <c r="E95" s="8"/>
      <c r="F95" s="8"/>
      <c r="G95" s="8"/>
      <c r="H95" s="8"/>
      <c r="I95" s="6"/>
      <c r="J95" s="10" t="str">
        <f>IF(AND(B95="",C95="",D95=""),"",IF(OR(B95="",D95=""),"비용 설정 필요",IF(COUNTIFS('3_채널별_비용설정'!$C$6:$C$55,D95,'3_채널별_비용설정'!$D$6:$D$55,"&lt;="&amp;B95,'3_채널별_비용설정'!$L$6:$L$55,"&gt;="&amp;B95)=0,"비용 설정 필요",IF(COUNTIFS('3_채널별_비용설정'!$C$6:$C$55,D95,'3_채널별_비용설정'!$D$6:$D$55,"&lt;="&amp;B95,'3_채널별_비용설정'!$L$6:$L$55,"&gt;="&amp;B95)&gt;1,"기간 중복 확인","정상"))))</f>
      </c>
      <c r="K95" s="15" t="str">
        <f>IF(J95="","",IF(J95&lt;&gt;"정상","비용 설정 필요",SUMIFS('3_채널별_비용설정'!$F$6:$F$55,'3_채널별_비용설정'!$C$6:$C$55,D95,'3_채널별_비용설정'!$D$6:$D$55,"&lt;="&amp;B95,'3_채널별_비용설정'!$L$6:$L$55,"&gt;="&amp;B95)))</f>
      </c>
      <c r="L95" s="12" t="str">
        <f>IF(J95="","",IF(J95&lt;&gt;"정상","비용 설정 필요",ROUND(F95*K95,0)))</f>
      </c>
      <c r="M95" s="12" t="str">
        <f>IF(J95="","",IF(J95&lt;&gt;"정상","비용 설정 필요",SUMIFS('3_채널별_비용설정'!$J$6:$J$55,'3_채널별_비용설정'!$C$6:$C$55,D95,'3_채널별_비용설정'!$D$6:$D$55,"&lt;="&amp;B95,'3_채널별_비용설정'!$L$6:$L$55,"&gt;="&amp;B95)))</f>
      </c>
      <c r="N95" s="12" t="str">
        <f>IF(J95="","",IF(J95&lt;&gt;"정상","비용 설정 필요",E95*M95))</f>
      </c>
      <c r="O95" s="12" t="str">
        <f>IF(J95="","",IF(J95&lt;&gt;"정상","비용 설정 필요",G95+L95+N95+H95))</f>
      </c>
      <c r="P95" s="13" t="str">
        <f>IF(J95="","",IF(J95&lt;&gt;"정상","비용 설정 필요",F95-O95))</f>
      </c>
      <c r="Q95" s="14" t="str">
        <f>IF(J95="","",IF(J95&lt;&gt;"정상","비용 설정 필요",IFERROR(P95/F95,0)))</f>
      </c>
    </row>
    <row r="96">
      <c r="B96" s="7"/>
      <c r="C96" s="5"/>
      <c r="D96" s="5"/>
      <c r="E96" s="8"/>
      <c r="F96" s="8"/>
      <c r="G96" s="8"/>
      <c r="H96" s="8"/>
      <c r="I96" s="6"/>
      <c r="J96" s="10" t="str">
        <f>IF(AND(B96="",C96="",D96=""),"",IF(OR(B96="",D96=""),"비용 설정 필요",IF(COUNTIFS('3_채널별_비용설정'!$C$6:$C$55,D96,'3_채널별_비용설정'!$D$6:$D$55,"&lt;="&amp;B96,'3_채널별_비용설정'!$L$6:$L$55,"&gt;="&amp;B96)=0,"비용 설정 필요",IF(COUNTIFS('3_채널별_비용설정'!$C$6:$C$55,D96,'3_채널별_비용설정'!$D$6:$D$55,"&lt;="&amp;B96,'3_채널별_비용설정'!$L$6:$L$55,"&gt;="&amp;B96)&gt;1,"기간 중복 확인","정상"))))</f>
      </c>
      <c r="K96" s="15" t="str">
        <f>IF(J96="","",IF(J96&lt;&gt;"정상","비용 설정 필요",SUMIFS('3_채널별_비용설정'!$F$6:$F$55,'3_채널별_비용설정'!$C$6:$C$55,D96,'3_채널별_비용설정'!$D$6:$D$55,"&lt;="&amp;B96,'3_채널별_비용설정'!$L$6:$L$55,"&gt;="&amp;B96)))</f>
      </c>
      <c r="L96" s="12" t="str">
        <f>IF(J96="","",IF(J96&lt;&gt;"정상","비용 설정 필요",ROUND(F96*K96,0)))</f>
      </c>
      <c r="M96" s="12" t="str">
        <f>IF(J96="","",IF(J96&lt;&gt;"정상","비용 설정 필요",SUMIFS('3_채널별_비용설정'!$J$6:$J$55,'3_채널별_비용설정'!$C$6:$C$55,D96,'3_채널별_비용설정'!$D$6:$D$55,"&lt;="&amp;B96,'3_채널별_비용설정'!$L$6:$L$55,"&gt;="&amp;B96)))</f>
      </c>
      <c r="N96" s="12" t="str">
        <f>IF(J96="","",IF(J96&lt;&gt;"정상","비용 설정 필요",E96*M96))</f>
      </c>
      <c r="O96" s="12" t="str">
        <f>IF(J96="","",IF(J96&lt;&gt;"정상","비용 설정 필요",G96+L96+N96+H96))</f>
      </c>
      <c r="P96" s="13" t="str">
        <f>IF(J96="","",IF(J96&lt;&gt;"정상","비용 설정 필요",F96-O96))</f>
      </c>
      <c r="Q96" s="14" t="str">
        <f>IF(J96="","",IF(J96&lt;&gt;"정상","비용 설정 필요",IFERROR(P96/F96,0)))</f>
      </c>
    </row>
    <row r="97">
      <c r="B97" s="7"/>
      <c r="C97" s="5"/>
      <c r="D97" s="5"/>
      <c r="E97" s="8"/>
      <c r="F97" s="8"/>
      <c r="G97" s="8"/>
      <c r="H97" s="8"/>
      <c r="I97" s="6"/>
      <c r="J97" s="10" t="str">
        <f>IF(AND(B97="",C97="",D97=""),"",IF(OR(B97="",D97=""),"비용 설정 필요",IF(COUNTIFS('3_채널별_비용설정'!$C$6:$C$55,D97,'3_채널별_비용설정'!$D$6:$D$55,"&lt;="&amp;B97,'3_채널별_비용설정'!$L$6:$L$55,"&gt;="&amp;B97)=0,"비용 설정 필요",IF(COUNTIFS('3_채널별_비용설정'!$C$6:$C$55,D97,'3_채널별_비용설정'!$D$6:$D$55,"&lt;="&amp;B97,'3_채널별_비용설정'!$L$6:$L$55,"&gt;="&amp;B97)&gt;1,"기간 중복 확인","정상"))))</f>
      </c>
      <c r="K97" s="15" t="str">
        <f>IF(J97="","",IF(J97&lt;&gt;"정상","비용 설정 필요",SUMIFS('3_채널별_비용설정'!$F$6:$F$55,'3_채널별_비용설정'!$C$6:$C$55,D97,'3_채널별_비용설정'!$D$6:$D$55,"&lt;="&amp;B97,'3_채널별_비용설정'!$L$6:$L$55,"&gt;="&amp;B97)))</f>
      </c>
      <c r="L97" s="12" t="str">
        <f>IF(J97="","",IF(J97&lt;&gt;"정상","비용 설정 필요",ROUND(F97*K97,0)))</f>
      </c>
      <c r="M97" s="12" t="str">
        <f>IF(J97="","",IF(J97&lt;&gt;"정상","비용 설정 필요",SUMIFS('3_채널별_비용설정'!$J$6:$J$55,'3_채널별_비용설정'!$C$6:$C$55,D97,'3_채널별_비용설정'!$D$6:$D$55,"&lt;="&amp;B97,'3_채널별_비용설정'!$L$6:$L$55,"&gt;="&amp;B97)))</f>
      </c>
      <c r="N97" s="12" t="str">
        <f>IF(J97="","",IF(J97&lt;&gt;"정상","비용 설정 필요",E97*M97))</f>
      </c>
      <c r="O97" s="12" t="str">
        <f>IF(J97="","",IF(J97&lt;&gt;"정상","비용 설정 필요",G97+L97+N97+H97))</f>
      </c>
      <c r="P97" s="13" t="str">
        <f>IF(J97="","",IF(J97&lt;&gt;"정상","비용 설정 필요",F97-O97))</f>
      </c>
      <c r="Q97" s="14" t="str">
        <f>IF(J97="","",IF(J97&lt;&gt;"정상","비용 설정 필요",IFERROR(P97/F97,0)))</f>
      </c>
    </row>
    <row r="98">
      <c r="B98" s="7"/>
      <c r="C98" s="5"/>
      <c r="D98" s="5"/>
      <c r="E98" s="8"/>
      <c r="F98" s="8"/>
      <c r="G98" s="8"/>
      <c r="H98" s="8"/>
      <c r="I98" s="6"/>
      <c r="J98" s="10" t="str">
        <f>IF(AND(B98="",C98="",D98=""),"",IF(OR(B98="",D98=""),"비용 설정 필요",IF(COUNTIFS('3_채널별_비용설정'!$C$6:$C$55,D98,'3_채널별_비용설정'!$D$6:$D$55,"&lt;="&amp;B98,'3_채널별_비용설정'!$L$6:$L$55,"&gt;="&amp;B98)=0,"비용 설정 필요",IF(COUNTIFS('3_채널별_비용설정'!$C$6:$C$55,D98,'3_채널별_비용설정'!$D$6:$D$55,"&lt;="&amp;B98,'3_채널별_비용설정'!$L$6:$L$55,"&gt;="&amp;B98)&gt;1,"기간 중복 확인","정상"))))</f>
      </c>
      <c r="K98" s="15" t="str">
        <f>IF(J98="","",IF(J98&lt;&gt;"정상","비용 설정 필요",SUMIFS('3_채널별_비용설정'!$F$6:$F$55,'3_채널별_비용설정'!$C$6:$C$55,D98,'3_채널별_비용설정'!$D$6:$D$55,"&lt;="&amp;B98,'3_채널별_비용설정'!$L$6:$L$55,"&gt;="&amp;B98)))</f>
      </c>
      <c r="L98" s="12" t="str">
        <f>IF(J98="","",IF(J98&lt;&gt;"정상","비용 설정 필요",ROUND(F98*K98,0)))</f>
      </c>
      <c r="M98" s="12" t="str">
        <f>IF(J98="","",IF(J98&lt;&gt;"정상","비용 설정 필요",SUMIFS('3_채널별_비용설정'!$J$6:$J$55,'3_채널별_비용설정'!$C$6:$C$55,D98,'3_채널별_비용설정'!$D$6:$D$55,"&lt;="&amp;B98,'3_채널별_비용설정'!$L$6:$L$55,"&gt;="&amp;B98)))</f>
      </c>
      <c r="N98" s="12" t="str">
        <f>IF(J98="","",IF(J98&lt;&gt;"정상","비용 설정 필요",E98*M98))</f>
      </c>
      <c r="O98" s="12" t="str">
        <f>IF(J98="","",IF(J98&lt;&gt;"정상","비용 설정 필요",G98+L98+N98+H98))</f>
      </c>
      <c r="P98" s="13" t="str">
        <f>IF(J98="","",IF(J98&lt;&gt;"정상","비용 설정 필요",F98-O98))</f>
      </c>
      <c r="Q98" s="14" t="str">
        <f>IF(J98="","",IF(J98&lt;&gt;"정상","비용 설정 필요",IFERROR(P98/F98,0)))</f>
      </c>
    </row>
    <row r="99">
      <c r="B99" s="7"/>
      <c r="C99" s="5"/>
      <c r="D99" s="5"/>
      <c r="E99" s="8"/>
      <c r="F99" s="8"/>
      <c r="G99" s="8"/>
      <c r="H99" s="8"/>
      <c r="I99" s="6"/>
      <c r="J99" s="10" t="str">
        <f>IF(AND(B99="",C99="",D99=""),"",IF(OR(B99="",D99=""),"비용 설정 필요",IF(COUNTIFS('3_채널별_비용설정'!$C$6:$C$55,D99,'3_채널별_비용설정'!$D$6:$D$55,"&lt;="&amp;B99,'3_채널별_비용설정'!$L$6:$L$55,"&gt;="&amp;B99)=0,"비용 설정 필요",IF(COUNTIFS('3_채널별_비용설정'!$C$6:$C$55,D99,'3_채널별_비용설정'!$D$6:$D$55,"&lt;="&amp;B99,'3_채널별_비용설정'!$L$6:$L$55,"&gt;="&amp;B99)&gt;1,"기간 중복 확인","정상"))))</f>
      </c>
      <c r="K99" s="15" t="str">
        <f>IF(J99="","",IF(J99&lt;&gt;"정상","비용 설정 필요",SUMIFS('3_채널별_비용설정'!$F$6:$F$55,'3_채널별_비용설정'!$C$6:$C$55,D99,'3_채널별_비용설정'!$D$6:$D$55,"&lt;="&amp;B99,'3_채널별_비용설정'!$L$6:$L$55,"&gt;="&amp;B99)))</f>
      </c>
      <c r="L99" s="12" t="str">
        <f>IF(J99="","",IF(J99&lt;&gt;"정상","비용 설정 필요",ROUND(F99*K99,0)))</f>
      </c>
      <c r="M99" s="12" t="str">
        <f>IF(J99="","",IF(J99&lt;&gt;"정상","비용 설정 필요",SUMIFS('3_채널별_비용설정'!$J$6:$J$55,'3_채널별_비용설정'!$C$6:$C$55,D99,'3_채널별_비용설정'!$D$6:$D$55,"&lt;="&amp;B99,'3_채널별_비용설정'!$L$6:$L$55,"&gt;="&amp;B99)))</f>
      </c>
      <c r="N99" s="12" t="str">
        <f>IF(J99="","",IF(J99&lt;&gt;"정상","비용 설정 필요",E99*M99))</f>
      </c>
      <c r="O99" s="12" t="str">
        <f>IF(J99="","",IF(J99&lt;&gt;"정상","비용 설정 필요",G99+L99+N99+H99))</f>
      </c>
      <c r="P99" s="13" t="str">
        <f>IF(J99="","",IF(J99&lt;&gt;"정상","비용 설정 필요",F99-O99))</f>
      </c>
      <c r="Q99" s="14" t="str">
        <f>IF(J99="","",IF(J99&lt;&gt;"정상","비용 설정 필요",IFERROR(P99/F99,0)))</f>
      </c>
    </row>
    <row r="100">
      <c r="B100" s="7"/>
      <c r="C100" s="5"/>
      <c r="D100" s="5"/>
      <c r="E100" s="8"/>
      <c r="F100" s="8"/>
      <c r="G100" s="8"/>
      <c r="H100" s="8"/>
      <c r="I100" s="6"/>
      <c r="J100" s="10" t="str">
        <f>IF(AND(B100="",C100="",D100=""),"",IF(OR(B100="",D100=""),"비용 설정 필요",IF(COUNTIFS('3_채널별_비용설정'!$C$6:$C$55,D100,'3_채널별_비용설정'!$D$6:$D$55,"&lt;="&amp;B100,'3_채널별_비용설정'!$L$6:$L$55,"&gt;="&amp;B100)=0,"비용 설정 필요",IF(COUNTIFS('3_채널별_비용설정'!$C$6:$C$55,D100,'3_채널별_비용설정'!$D$6:$D$55,"&lt;="&amp;B100,'3_채널별_비용설정'!$L$6:$L$55,"&gt;="&amp;B100)&gt;1,"기간 중복 확인","정상"))))</f>
      </c>
      <c r="K100" s="15" t="str">
        <f>IF(J100="","",IF(J100&lt;&gt;"정상","비용 설정 필요",SUMIFS('3_채널별_비용설정'!$F$6:$F$55,'3_채널별_비용설정'!$C$6:$C$55,D100,'3_채널별_비용설정'!$D$6:$D$55,"&lt;="&amp;B100,'3_채널별_비용설정'!$L$6:$L$55,"&gt;="&amp;B100)))</f>
      </c>
      <c r="L100" s="12" t="str">
        <f>IF(J100="","",IF(J100&lt;&gt;"정상","비용 설정 필요",ROUND(F100*K100,0)))</f>
      </c>
      <c r="M100" s="12" t="str">
        <f>IF(J100="","",IF(J100&lt;&gt;"정상","비용 설정 필요",SUMIFS('3_채널별_비용설정'!$J$6:$J$55,'3_채널별_비용설정'!$C$6:$C$55,D100,'3_채널별_비용설정'!$D$6:$D$55,"&lt;="&amp;B100,'3_채널별_비용설정'!$L$6:$L$55,"&gt;="&amp;B100)))</f>
      </c>
      <c r="N100" s="12" t="str">
        <f>IF(J100="","",IF(J100&lt;&gt;"정상","비용 설정 필요",E100*M100))</f>
      </c>
      <c r="O100" s="12" t="str">
        <f>IF(J100="","",IF(J100&lt;&gt;"정상","비용 설정 필요",G100+L100+N100+H100))</f>
      </c>
      <c r="P100" s="13" t="str">
        <f>IF(J100="","",IF(J100&lt;&gt;"정상","비용 설정 필요",F100-O100))</f>
      </c>
      <c r="Q100" s="14" t="str">
        <f>IF(J100="","",IF(J100&lt;&gt;"정상","비용 설정 필요",IFERROR(P100/F100,0)))</f>
      </c>
    </row>
    <row r="101">
      <c r="B101" s="7"/>
      <c r="C101" s="5"/>
      <c r="D101" s="5"/>
      <c r="E101" s="8"/>
      <c r="F101" s="8"/>
      <c r="G101" s="8"/>
      <c r="H101" s="8"/>
      <c r="I101" s="6"/>
      <c r="J101" s="10" t="str">
        <f>IF(AND(B101="",C101="",D101=""),"",IF(OR(B101="",D101=""),"비용 설정 필요",IF(COUNTIFS('3_채널별_비용설정'!$C$6:$C$55,D101,'3_채널별_비용설정'!$D$6:$D$55,"&lt;="&amp;B101,'3_채널별_비용설정'!$L$6:$L$55,"&gt;="&amp;B101)=0,"비용 설정 필요",IF(COUNTIFS('3_채널별_비용설정'!$C$6:$C$55,D101,'3_채널별_비용설정'!$D$6:$D$55,"&lt;="&amp;B101,'3_채널별_비용설정'!$L$6:$L$55,"&gt;="&amp;B101)&gt;1,"기간 중복 확인","정상"))))</f>
      </c>
      <c r="K101" s="15" t="str">
        <f>IF(J101="","",IF(J101&lt;&gt;"정상","비용 설정 필요",SUMIFS('3_채널별_비용설정'!$F$6:$F$55,'3_채널별_비용설정'!$C$6:$C$55,D101,'3_채널별_비용설정'!$D$6:$D$55,"&lt;="&amp;B101,'3_채널별_비용설정'!$L$6:$L$55,"&gt;="&amp;B101)))</f>
      </c>
      <c r="L101" s="12" t="str">
        <f>IF(J101="","",IF(J101&lt;&gt;"정상","비용 설정 필요",ROUND(F101*K101,0)))</f>
      </c>
      <c r="M101" s="12" t="str">
        <f>IF(J101="","",IF(J101&lt;&gt;"정상","비용 설정 필요",SUMIFS('3_채널별_비용설정'!$J$6:$J$55,'3_채널별_비용설정'!$C$6:$C$55,D101,'3_채널별_비용설정'!$D$6:$D$55,"&lt;="&amp;B101,'3_채널별_비용설정'!$L$6:$L$55,"&gt;="&amp;B101)))</f>
      </c>
      <c r="N101" s="12" t="str">
        <f>IF(J101="","",IF(J101&lt;&gt;"정상","비용 설정 필요",E101*M101))</f>
      </c>
      <c r="O101" s="12" t="str">
        <f>IF(J101="","",IF(J101&lt;&gt;"정상","비용 설정 필요",G101+L101+N101+H101))</f>
      </c>
      <c r="P101" s="13" t="str">
        <f>IF(J101="","",IF(J101&lt;&gt;"정상","비용 설정 필요",F101-O101))</f>
      </c>
      <c r="Q101" s="14" t="str">
        <f>IF(J101="","",IF(J101&lt;&gt;"정상","비용 설정 필요",IFERROR(P101/F101,0)))</f>
      </c>
    </row>
    <row r="102">
      <c r="B102" s="7"/>
      <c r="C102" s="5"/>
      <c r="D102" s="5"/>
      <c r="E102" s="8"/>
      <c r="F102" s="8"/>
      <c r="G102" s="8"/>
      <c r="H102" s="8"/>
      <c r="I102" s="6"/>
      <c r="J102" s="10" t="str">
        <f>IF(AND(B102="",C102="",D102=""),"",IF(OR(B102="",D102=""),"비용 설정 필요",IF(COUNTIFS('3_채널별_비용설정'!$C$6:$C$55,D102,'3_채널별_비용설정'!$D$6:$D$55,"&lt;="&amp;B102,'3_채널별_비용설정'!$L$6:$L$55,"&gt;="&amp;B102)=0,"비용 설정 필요",IF(COUNTIFS('3_채널별_비용설정'!$C$6:$C$55,D102,'3_채널별_비용설정'!$D$6:$D$55,"&lt;="&amp;B102,'3_채널별_비용설정'!$L$6:$L$55,"&gt;="&amp;B102)&gt;1,"기간 중복 확인","정상"))))</f>
      </c>
      <c r="K102" s="15" t="str">
        <f>IF(J102="","",IF(J102&lt;&gt;"정상","비용 설정 필요",SUMIFS('3_채널별_비용설정'!$F$6:$F$55,'3_채널별_비용설정'!$C$6:$C$55,D102,'3_채널별_비용설정'!$D$6:$D$55,"&lt;="&amp;B102,'3_채널별_비용설정'!$L$6:$L$55,"&gt;="&amp;B102)))</f>
      </c>
      <c r="L102" s="12" t="str">
        <f>IF(J102="","",IF(J102&lt;&gt;"정상","비용 설정 필요",ROUND(F102*K102,0)))</f>
      </c>
      <c r="M102" s="12" t="str">
        <f>IF(J102="","",IF(J102&lt;&gt;"정상","비용 설정 필요",SUMIFS('3_채널별_비용설정'!$J$6:$J$55,'3_채널별_비용설정'!$C$6:$C$55,D102,'3_채널별_비용설정'!$D$6:$D$55,"&lt;="&amp;B102,'3_채널별_비용설정'!$L$6:$L$55,"&gt;="&amp;B102)))</f>
      </c>
      <c r="N102" s="12" t="str">
        <f>IF(J102="","",IF(J102&lt;&gt;"정상","비용 설정 필요",E102*M102))</f>
      </c>
      <c r="O102" s="12" t="str">
        <f>IF(J102="","",IF(J102&lt;&gt;"정상","비용 설정 필요",G102+L102+N102+H102))</f>
      </c>
      <c r="P102" s="13" t="str">
        <f>IF(J102="","",IF(J102&lt;&gt;"정상","비용 설정 필요",F102-O102))</f>
      </c>
      <c r="Q102" s="14" t="str">
        <f>IF(J102="","",IF(J102&lt;&gt;"정상","비용 설정 필요",IFERROR(P102/F102,0)))</f>
      </c>
    </row>
    <row r="103">
      <c r="B103" s="7"/>
      <c r="C103" s="5"/>
      <c r="D103" s="5"/>
      <c r="E103" s="8"/>
      <c r="F103" s="8"/>
      <c r="G103" s="8"/>
      <c r="H103" s="8"/>
      <c r="I103" s="6"/>
      <c r="J103" s="10" t="str">
        <f>IF(AND(B103="",C103="",D103=""),"",IF(OR(B103="",D103=""),"비용 설정 필요",IF(COUNTIFS('3_채널별_비용설정'!$C$6:$C$55,D103,'3_채널별_비용설정'!$D$6:$D$55,"&lt;="&amp;B103,'3_채널별_비용설정'!$L$6:$L$55,"&gt;="&amp;B103)=0,"비용 설정 필요",IF(COUNTIFS('3_채널별_비용설정'!$C$6:$C$55,D103,'3_채널별_비용설정'!$D$6:$D$55,"&lt;="&amp;B103,'3_채널별_비용설정'!$L$6:$L$55,"&gt;="&amp;B103)&gt;1,"기간 중복 확인","정상"))))</f>
      </c>
      <c r="K103" s="15" t="str">
        <f>IF(J103="","",IF(J103&lt;&gt;"정상","비용 설정 필요",SUMIFS('3_채널별_비용설정'!$F$6:$F$55,'3_채널별_비용설정'!$C$6:$C$55,D103,'3_채널별_비용설정'!$D$6:$D$55,"&lt;="&amp;B103,'3_채널별_비용설정'!$L$6:$L$55,"&gt;="&amp;B103)))</f>
      </c>
      <c r="L103" s="12" t="str">
        <f>IF(J103="","",IF(J103&lt;&gt;"정상","비용 설정 필요",ROUND(F103*K103,0)))</f>
      </c>
      <c r="M103" s="12" t="str">
        <f>IF(J103="","",IF(J103&lt;&gt;"정상","비용 설정 필요",SUMIFS('3_채널별_비용설정'!$J$6:$J$55,'3_채널별_비용설정'!$C$6:$C$55,D103,'3_채널별_비용설정'!$D$6:$D$55,"&lt;="&amp;B103,'3_채널별_비용설정'!$L$6:$L$55,"&gt;="&amp;B103)))</f>
      </c>
      <c r="N103" s="12" t="str">
        <f>IF(J103="","",IF(J103&lt;&gt;"정상","비용 설정 필요",E103*M103))</f>
      </c>
      <c r="O103" s="12" t="str">
        <f>IF(J103="","",IF(J103&lt;&gt;"정상","비용 설정 필요",G103+L103+N103+H103))</f>
      </c>
      <c r="P103" s="13" t="str">
        <f>IF(J103="","",IF(J103&lt;&gt;"정상","비용 설정 필요",F103-O103))</f>
      </c>
      <c r="Q103" s="14" t="str">
        <f>IF(J103="","",IF(J103&lt;&gt;"정상","비용 설정 필요",IFERROR(P103/F103,0)))</f>
      </c>
    </row>
    <row r="104">
      <c r="B104" s="7"/>
      <c r="C104" s="5"/>
      <c r="D104" s="5"/>
      <c r="E104" s="8"/>
      <c r="F104" s="8"/>
      <c r="G104" s="8"/>
      <c r="H104" s="8"/>
      <c r="I104" s="6"/>
      <c r="J104" s="10" t="str">
        <f>IF(AND(B104="",C104="",D104=""),"",IF(OR(B104="",D104=""),"비용 설정 필요",IF(COUNTIFS('3_채널별_비용설정'!$C$6:$C$55,D104,'3_채널별_비용설정'!$D$6:$D$55,"&lt;="&amp;B104,'3_채널별_비용설정'!$L$6:$L$55,"&gt;="&amp;B104)=0,"비용 설정 필요",IF(COUNTIFS('3_채널별_비용설정'!$C$6:$C$55,D104,'3_채널별_비용설정'!$D$6:$D$55,"&lt;="&amp;B104,'3_채널별_비용설정'!$L$6:$L$55,"&gt;="&amp;B104)&gt;1,"기간 중복 확인","정상"))))</f>
      </c>
      <c r="K104" s="15" t="str">
        <f>IF(J104="","",IF(J104&lt;&gt;"정상","비용 설정 필요",SUMIFS('3_채널별_비용설정'!$F$6:$F$55,'3_채널별_비용설정'!$C$6:$C$55,D104,'3_채널별_비용설정'!$D$6:$D$55,"&lt;="&amp;B104,'3_채널별_비용설정'!$L$6:$L$55,"&gt;="&amp;B104)))</f>
      </c>
      <c r="L104" s="12" t="str">
        <f>IF(J104="","",IF(J104&lt;&gt;"정상","비용 설정 필요",ROUND(F104*K104,0)))</f>
      </c>
      <c r="M104" s="12" t="str">
        <f>IF(J104="","",IF(J104&lt;&gt;"정상","비용 설정 필요",SUMIFS('3_채널별_비용설정'!$J$6:$J$55,'3_채널별_비용설정'!$C$6:$C$55,D104,'3_채널별_비용설정'!$D$6:$D$55,"&lt;="&amp;B104,'3_채널별_비용설정'!$L$6:$L$55,"&gt;="&amp;B104)))</f>
      </c>
      <c r="N104" s="12" t="str">
        <f>IF(J104="","",IF(J104&lt;&gt;"정상","비용 설정 필요",E104*M104))</f>
      </c>
      <c r="O104" s="12" t="str">
        <f>IF(J104="","",IF(J104&lt;&gt;"정상","비용 설정 필요",G104+L104+N104+H104))</f>
      </c>
      <c r="P104" s="13" t="str">
        <f>IF(J104="","",IF(J104&lt;&gt;"정상","비용 설정 필요",F104-O104))</f>
      </c>
      <c r="Q104" s="14" t="str">
        <f>IF(J104="","",IF(J104&lt;&gt;"정상","비용 설정 필요",IFERROR(P104/F104,0)))</f>
      </c>
    </row>
    <row r="105">
      <c r="B105" s="7"/>
      <c r="C105" s="5"/>
      <c r="D105" s="5"/>
      <c r="E105" s="8"/>
      <c r="F105" s="8"/>
      <c r="G105" s="8"/>
      <c r="H105" s="8"/>
      <c r="I105" s="6"/>
      <c r="J105" s="10" t="str">
        <f>IF(AND(B105="",C105="",D105=""),"",IF(OR(B105="",D105=""),"비용 설정 필요",IF(COUNTIFS('3_채널별_비용설정'!$C$6:$C$55,D105,'3_채널별_비용설정'!$D$6:$D$55,"&lt;="&amp;B105,'3_채널별_비용설정'!$L$6:$L$55,"&gt;="&amp;B105)=0,"비용 설정 필요",IF(COUNTIFS('3_채널별_비용설정'!$C$6:$C$55,D105,'3_채널별_비용설정'!$D$6:$D$55,"&lt;="&amp;B105,'3_채널별_비용설정'!$L$6:$L$55,"&gt;="&amp;B105)&gt;1,"기간 중복 확인","정상"))))</f>
      </c>
      <c r="K105" s="15" t="str">
        <f>IF(J105="","",IF(J105&lt;&gt;"정상","비용 설정 필요",SUMIFS('3_채널별_비용설정'!$F$6:$F$55,'3_채널별_비용설정'!$C$6:$C$55,D105,'3_채널별_비용설정'!$D$6:$D$55,"&lt;="&amp;B105,'3_채널별_비용설정'!$L$6:$L$55,"&gt;="&amp;B105)))</f>
      </c>
      <c r="L105" s="12" t="str">
        <f>IF(J105="","",IF(J105&lt;&gt;"정상","비용 설정 필요",ROUND(F105*K105,0)))</f>
      </c>
      <c r="M105" s="12" t="str">
        <f>IF(J105="","",IF(J105&lt;&gt;"정상","비용 설정 필요",SUMIFS('3_채널별_비용설정'!$J$6:$J$55,'3_채널별_비용설정'!$C$6:$C$55,D105,'3_채널별_비용설정'!$D$6:$D$55,"&lt;="&amp;B105,'3_채널별_비용설정'!$L$6:$L$55,"&gt;="&amp;B105)))</f>
      </c>
      <c r="N105" s="12" t="str">
        <f>IF(J105="","",IF(J105&lt;&gt;"정상","비용 설정 필요",E105*M105))</f>
      </c>
      <c r="O105" s="12" t="str">
        <f>IF(J105="","",IF(J105&lt;&gt;"정상","비용 설정 필요",G105+L105+N105+H105))</f>
      </c>
      <c r="P105" s="13" t="str">
        <f>IF(J105="","",IF(J105&lt;&gt;"정상","비용 설정 필요",F105-O105))</f>
      </c>
      <c r="Q105" s="14" t="str">
        <f>IF(J105="","",IF(J105&lt;&gt;"정상","비용 설정 필요",IFERROR(P105/F105,0)))</f>
      </c>
    </row>
    <row r="106">
      <c r="B106" s="7"/>
      <c r="C106" s="5"/>
      <c r="D106" s="5"/>
      <c r="E106" s="8"/>
      <c r="F106" s="8"/>
      <c r="G106" s="8"/>
      <c r="H106" s="8"/>
      <c r="I106" s="6"/>
      <c r="J106" s="10" t="str">
        <f>IF(AND(B106="",C106="",D106=""),"",IF(OR(B106="",D106=""),"비용 설정 필요",IF(COUNTIFS('3_채널별_비용설정'!$C$6:$C$55,D106,'3_채널별_비용설정'!$D$6:$D$55,"&lt;="&amp;B106,'3_채널별_비용설정'!$L$6:$L$55,"&gt;="&amp;B106)=0,"비용 설정 필요",IF(COUNTIFS('3_채널별_비용설정'!$C$6:$C$55,D106,'3_채널별_비용설정'!$D$6:$D$55,"&lt;="&amp;B106,'3_채널별_비용설정'!$L$6:$L$55,"&gt;="&amp;B106)&gt;1,"기간 중복 확인","정상"))))</f>
      </c>
      <c r="K106" s="15" t="str">
        <f>IF(J106="","",IF(J106&lt;&gt;"정상","비용 설정 필요",SUMIFS('3_채널별_비용설정'!$F$6:$F$55,'3_채널별_비용설정'!$C$6:$C$55,D106,'3_채널별_비용설정'!$D$6:$D$55,"&lt;="&amp;B106,'3_채널별_비용설정'!$L$6:$L$55,"&gt;="&amp;B106)))</f>
      </c>
      <c r="L106" s="12" t="str">
        <f>IF(J106="","",IF(J106&lt;&gt;"정상","비용 설정 필요",ROUND(F106*K106,0)))</f>
      </c>
      <c r="M106" s="12" t="str">
        <f>IF(J106="","",IF(J106&lt;&gt;"정상","비용 설정 필요",SUMIFS('3_채널별_비용설정'!$J$6:$J$55,'3_채널별_비용설정'!$C$6:$C$55,D106,'3_채널별_비용설정'!$D$6:$D$55,"&lt;="&amp;B106,'3_채널별_비용설정'!$L$6:$L$55,"&gt;="&amp;B106)))</f>
      </c>
      <c r="N106" s="12" t="str">
        <f>IF(J106="","",IF(J106&lt;&gt;"정상","비용 설정 필요",E106*M106))</f>
      </c>
      <c r="O106" s="12" t="str">
        <f>IF(J106="","",IF(J106&lt;&gt;"정상","비용 설정 필요",G106+L106+N106+H106))</f>
      </c>
      <c r="P106" s="13" t="str">
        <f>IF(J106="","",IF(J106&lt;&gt;"정상","비용 설정 필요",F106-O106))</f>
      </c>
      <c r="Q106" s="14" t="str">
        <f>IF(J106="","",IF(J106&lt;&gt;"정상","비용 설정 필요",IFERROR(P106/F106,0)))</f>
      </c>
    </row>
    <row r="107">
      <c r="B107" s="7"/>
      <c r="C107" s="5"/>
      <c r="D107" s="5"/>
      <c r="E107" s="8"/>
      <c r="F107" s="8"/>
      <c r="G107" s="8"/>
      <c r="H107" s="8"/>
      <c r="I107" s="6"/>
      <c r="J107" s="10" t="str">
        <f>IF(AND(B107="",C107="",D107=""),"",IF(OR(B107="",D107=""),"비용 설정 필요",IF(COUNTIFS('3_채널별_비용설정'!$C$6:$C$55,D107,'3_채널별_비용설정'!$D$6:$D$55,"&lt;="&amp;B107,'3_채널별_비용설정'!$L$6:$L$55,"&gt;="&amp;B107)=0,"비용 설정 필요",IF(COUNTIFS('3_채널별_비용설정'!$C$6:$C$55,D107,'3_채널별_비용설정'!$D$6:$D$55,"&lt;="&amp;B107,'3_채널별_비용설정'!$L$6:$L$55,"&gt;="&amp;B107)&gt;1,"기간 중복 확인","정상"))))</f>
      </c>
      <c r="K107" s="15" t="str">
        <f>IF(J107="","",IF(J107&lt;&gt;"정상","비용 설정 필요",SUMIFS('3_채널별_비용설정'!$F$6:$F$55,'3_채널별_비용설정'!$C$6:$C$55,D107,'3_채널별_비용설정'!$D$6:$D$55,"&lt;="&amp;B107,'3_채널별_비용설정'!$L$6:$L$55,"&gt;="&amp;B107)))</f>
      </c>
      <c r="L107" s="12" t="str">
        <f>IF(J107="","",IF(J107&lt;&gt;"정상","비용 설정 필요",ROUND(F107*K107,0)))</f>
      </c>
      <c r="M107" s="12" t="str">
        <f>IF(J107="","",IF(J107&lt;&gt;"정상","비용 설정 필요",SUMIFS('3_채널별_비용설정'!$J$6:$J$55,'3_채널별_비용설정'!$C$6:$C$55,D107,'3_채널별_비용설정'!$D$6:$D$55,"&lt;="&amp;B107,'3_채널별_비용설정'!$L$6:$L$55,"&gt;="&amp;B107)))</f>
      </c>
      <c r="N107" s="12" t="str">
        <f>IF(J107="","",IF(J107&lt;&gt;"정상","비용 설정 필요",E107*M107))</f>
      </c>
      <c r="O107" s="12" t="str">
        <f>IF(J107="","",IF(J107&lt;&gt;"정상","비용 설정 필요",G107+L107+N107+H107))</f>
      </c>
      <c r="P107" s="13" t="str">
        <f>IF(J107="","",IF(J107&lt;&gt;"정상","비용 설정 필요",F107-O107))</f>
      </c>
      <c r="Q107" s="14" t="str">
        <f>IF(J107="","",IF(J107&lt;&gt;"정상","비용 설정 필요",IFERROR(P107/F107,0)))</f>
      </c>
    </row>
    <row r="108">
      <c r="B108" s="7"/>
      <c r="C108" s="5"/>
      <c r="D108" s="5"/>
      <c r="E108" s="8"/>
      <c r="F108" s="8"/>
      <c r="G108" s="8"/>
      <c r="H108" s="8"/>
      <c r="I108" s="6"/>
      <c r="J108" s="10" t="str">
        <f>IF(AND(B108="",C108="",D108=""),"",IF(OR(B108="",D108=""),"비용 설정 필요",IF(COUNTIFS('3_채널별_비용설정'!$C$6:$C$55,D108,'3_채널별_비용설정'!$D$6:$D$55,"&lt;="&amp;B108,'3_채널별_비용설정'!$L$6:$L$55,"&gt;="&amp;B108)=0,"비용 설정 필요",IF(COUNTIFS('3_채널별_비용설정'!$C$6:$C$55,D108,'3_채널별_비용설정'!$D$6:$D$55,"&lt;="&amp;B108,'3_채널별_비용설정'!$L$6:$L$55,"&gt;="&amp;B108)&gt;1,"기간 중복 확인","정상"))))</f>
      </c>
      <c r="K108" s="15" t="str">
        <f>IF(J108="","",IF(J108&lt;&gt;"정상","비용 설정 필요",SUMIFS('3_채널별_비용설정'!$F$6:$F$55,'3_채널별_비용설정'!$C$6:$C$55,D108,'3_채널별_비용설정'!$D$6:$D$55,"&lt;="&amp;B108,'3_채널별_비용설정'!$L$6:$L$55,"&gt;="&amp;B108)))</f>
      </c>
      <c r="L108" s="12" t="str">
        <f>IF(J108="","",IF(J108&lt;&gt;"정상","비용 설정 필요",ROUND(F108*K108,0)))</f>
      </c>
      <c r="M108" s="12" t="str">
        <f>IF(J108="","",IF(J108&lt;&gt;"정상","비용 설정 필요",SUMIFS('3_채널별_비용설정'!$J$6:$J$55,'3_채널별_비용설정'!$C$6:$C$55,D108,'3_채널별_비용설정'!$D$6:$D$55,"&lt;="&amp;B108,'3_채널별_비용설정'!$L$6:$L$55,"&gt;="&amp;B108)))</f>
      </c>
      <c r="N108" s="12" t="str">
        <f>IF(J108="","",IF(J108&lt;&gt;"정상","비용 설정 필요",E108*M108))</f>
      </c>
      <c r="O108" s="12" t="str">
        <f>IF(J108="","",IF(J108&lt;&gt;"정상","비용 설정 필요",G108+L108+N108+H108))</f>
      </c>
      <c r="P108" s="13" t="str">
        <f>IF(J108="","",IF(J108&lt;&gt;"정상","비용 설정 필요",F108-O108))</f>
      </c>
      <c r="Q108" s="14" t="str">
        <f>IF(J108="","",IF(J108&lt;&gt;"정상","비용 설정 필요",IFERROR(P108/F108,0)))</f>
      </c>
    </row>
    <row r="109">
      <c r="B109" s="7"/>
      <c r="C109" s="5"/>
      <c r="D109" s="5"/>
      <c r="E109" s="8"/>
      <c r="F109" s="8"/>
      <c r="G109" s="8"/>
      <c r="H109" s="8"/>
      <c r="I109" s="6"/>
      <c r="J109" s="10" t="str">
        <f>IF(AND(B109="",C109="",D109=""),"",IF(OR(B109="",D109=""),"비용 설정 필요",IF(COUNTIFS('3_채널별_비용설정'!$C$6:$C$55,D109,'3_채널별_비용설정'!$D$6:$D$55,"&lt;="&amp;B109,'3_채널별_비용설정'!$L$6:$L$55,"&gt;="&amp;B109)=0,"비용 설정 필요",IF(COUNTIFS('3_채널별_비용설정'!$C$6:$C$55,D109,'3_채널별_비용설정'!$D$6:$D$55,"&lt;="&amp;B109,'3_채널별_비용설정'!$L$6:$L$55,"&gt;="&amp;B109)&gt;1,"기간 중복 확인","정상"))))</f>
      </c>
      <c r="K109" s="15" t="str">
        <f>IF(J109="","",IF(J109&lt;&gt;"정상","비용 설정 필요",SUMIFS('3_채널별_비용설정'!$F$6:$F$55,'3_채널별_비용설정'!$C$6:$C$55,D109,'3_채널별_비용설정'!$D$6:$D$55,"&lt;="&amp;B109,'3_채널별_비용설정'!$L$6:$L$55,"&gt;="&amp;B109)))</f>
      </c>
      <c r="L109" s="12" t="str">
        <f>IF(J109="","",IF(J109&lt;&gt;"정상","비용 설정 필요",ROUND(F109*K109,0)))</f>
      </c>
      <c r="M109" s="12" t="str">
        <f>IF(J109="","",IF(J109&lt;&gt;"정상","비용 설정 필요",SUMIFS('3_채널별_비용설정'!$J$6:$J$55,'3_채널별_비용설정'!$C$6:$C$55,D109,'3_채널별_비용설정'!$D$6:$D$55,"&lt;="&amp;B109,'3_채널별_비용설정'!$L$6:$L$55,"&gt;="&amp;B109)))</f>
      </c>
      <c r="N109" s="12" t="str">
        <f>IF(J109="","",IF(J109&lt;&gt;"정상","비용 설정 필요",E109*M109))</f>
      </c>
      <c r="O109" s="12" t="str">
        <f>IF(J109="","",IF(J109&lt;&gt;"정상","비용 설정 필요",G109+L109+N109+H109))</f>
      </c>
      <c r="P109" s="13" t="str">
        <f>IF(J109="","",IF(J109&lt;&gt;"정상","비용 설정 필요",F109-O109))</f>
      </c>
      <c r="Q109" s="14" t="str">
        <f>IF(J109="","",IF(J109&lt;&gt;"정상","비용 설정 필요",IFERROR(P109/F109,0)))</f>
      </c>
    </row>
    <row r="110">
      <c r="B110" s="7"/>
      <c r="C110" s="5"/>
      <c r="D110" s="5"/>
      <c r="E110" s="8"/>
      <c r="F110" s="8"/>
      <c r="G110" s="8"/>
      <c r="H110" s="8"/>
      <c r="I110" s="6"/>
      <c r="J110" s="10" t="str">
        <f>IF(AND(B110="",C110="",D110=""),"",IF(OR(B110="",D110=""),"비용 설정 필요",IF(COUNTIFS('3_채널별_비용설정'!$C$6:$C$55,D110,'3_채널별_비용설정'!$D$6:$D$55,"&lt;="&amp;B110,'3_채널별_비용설정'!$L$6:$L$55,"&gt;="&amp;B110)=0,"비용 설정 필요",IF(COUNTIFS('3_채널별_비용설정'!$C$6:$C$55,D110,'3_채널별_비용설정'!$D$6:$D$55,"&lt;="&amp;B110,'3_채널별_비용설정'!$L$6:$L$55,"&gt;="&amp;B110)&gt;1,"기간 중복 확인","정상"))))</f>
      </c>
      <c r="K110" s="15" t="str">
        <f>IF(J110="","",IF(J110&lt;&gt;"정상","비용 설정 필요",SUMIFS('3_채널별_비용설정'!$F$6:$F$55,'3_채널별_비용설정'!$C$6:$C$55,D110,'3_채널별_비용설정'!$D$6:$D$55,"&lt;="&amp;B110,'3_채널별_비용설정'!$L$6:$L$55,"&gt;="&amp;B110)))</f>
      </c>
      <c r="L110" s="12" t="str">
        <f>IF(J110="","",IF(J110&lt;&gt;"정상","비용 설정 필요",ROUND(F110*K110,0)))</f>
      </c>
      <c r="M110" s="12" t="str">
        <f>IF(J110="","",IF(J110&lt;&gt;"정상","비용 설정 필요",SUMIFS('3_채널별_비용설정'!$J$6:$J$55,'3_채널별_비용설정'!$C$6:$C$55,D110,'3_채널별_비용설정'!$D$6:$D$55,"&lt;="&amp;B110,'3_채널별_비용설정'!$L$6:$L$55,"&gt;="&amp;B110)))</f>
      </c>
      <c r="N110" s="12" t="str">
        <f>IF(J110="","",IF(J110&lt;&gt;"정상","비용 설정 필요",E110*M110))</f>
      </c>
      <c r="O110" s="12" t="str">
        <f>IF(J110="","",IF(J110&lt;&gt;"정상","비용 설정 필요",G110+L110+N110+H110))</f>
      </c>
      <c r="P110" s="13" t="str">
        <f>IF(J110="","",IF(J110&lt;&gt;"정상","비용 설정 필요",F110-O110))</f>
      </c>
      <c r="Q110" s="14" t="str">
        <f>IF(J110="","",IF(J110&lt;&gt;"정상","비용 설정 필요",IFERROR(P110/F110,0)))</f>
      </c>
    </row>
    <row r="111">
      <c r="B111" s="7"/>
      <c r="C111" s="5"/>
      <c r="D111" s="5"/>
      <c r="E111" s="8"/>
      <c r="F111" s="8"/>
      <c r="G111" s="8"/>
      <c r="H111" s="8"/>
      <c r="I111" s="6"/>
      <c r="J111" s="10" t="str">
        <f>IF(AND(B111="",C111="",D111=""),"",IF(OR(B111="",D111=""),"비용 설정 필요",IF(COUNTIFS('3_채널별_비용설정'!$C$6:$C$55,D111,'3_채널별_비용설정'!$D$6:$D$55,"&lt;="&amp;B111,'3_채널별_비용설정'!$L$6:$L$55,"&gt;="&amp;B111)=0,"비용 설정 필요",IF(COUNTIFS('3_채널별_비용설정'!$C$6:$C$55,D111,'3_채널별_비용설정'!$D$6:$D$55,"&lt;="&amp;B111,'3_채널별_비용설정'!$L$6:$L$55,"&gt;="&amp;B111)&gt;1,"기간 중복 확인","정상"))))</f>
      </c>
      <c r="K111" s="15" t="str">
        <f>IF(J111="","",IF(J111&lt;&gt;"정상","비용 설정 필요",SUMIFS('3_채널별_비용설정'!$F$6:$F$55,'3_채널별_비용설정'!$C$6:$C$55,D111,'3_채널별_비용설정'!$D$6:$D$55,"&lt;="&amp;B111,'3_채널별_비용설정'!$L$6:$L$55,"&gt;="&amp;B111)))</f>
      </c>
      <c r="L111" s="12" t="str">
        <f>IF(J111="","",IF(J111&lt;&gt;"정상","비용 설정 필요",ROUND(F111*K111,0)))</f>
      </c>
      <c r="M111" s="12" t="str">
        <f>IF(J111="","",IF(J111&lt;&gt;"정상","비용 설정 필요",SUMIFS('3_채널별_비용설정'!$J$6:$J$55,'3_채널별_비용설정'!$C$6:$C$55,D111,'3_채널별_비용설정'!$D$6:$D$55,"&lt;="&amp;B111,'3_채널별_비용설정'!$L$6:$L$55,"&gt;="&amp;B111)))</f>
      </c>
      <c r="N111" s="12" t="str">
        <f>IF(J111="","",IF(J111&lt;&gt;"정상","비용 설정 필요",E111*M111))</f>
      </c>
      <c r="O111" s="12" t="str">
        <f>IF(J111="","",IF(J111&lt;&gt;"정상","비용 설정 필요",G111+L111+N111+H111))</f>
      </c>
      <c r="P111" s="13" t="str">
        <f>IF(J111="","",IF(J111&lt;&gt;"정상","비용 설정 필요",F111-O111))</f>
      </c>
      <c r="Q111" s="14" t="str">
        <f>IF(J111="","",IF(J111&lt;&gt;"정상","비용 설정 필요",IFERROR(P111/F111,0)))</f>
      </c>
    </row>
    <row r="112">
      <c r="B112" s="7"/>
      <c r="C112" s="5"/>
      <c r="D112" s="5"/>
      <c r="E112" s="8"/>
      <c r="F112" s="8"/>
      <c r="G112" s="8"/>
      <c r="H112" s="8"/>
      <c r="I112" s="6"/>
      <c r="J112" s="10" t="str">
        <f>IF(AND(B112="",C112="",D112=""),"",IF(OR(B112="",D112=""),"비용 설정 필요",IF(COUNTIFS('3_채널별_비용설정'!$C$6:$C$55,D112,'3_채널별_비용설정'!$D$6:$D$55,"&lt;="&amp;B112,'3_채널별_비용설정'!$L$6:$L$55,"&gt;="&amp;B112)=0,"비용 설정 필요",IF(COUNTIFS('3_채널별_비용설정'!$C$6:$C$55,D112,'3_채널별_비용설정'!$D$6:$D$55,"&lt;="&amp;B112,'3_채널별_비용설정'!$L$6:$L$55,"&gt;="&amp;B112)&gt;1,"기간 중복 확인","정상"))))</f>
      </c>
      <c r="K112" s="15" t="str">
        <f>IF(J112="","",IF(J112&lt;&gt;"정상","비용 설정 필요",SUMIFS('3_채널별_비용설정'!$F$6:$F$55,'3_채널별_비용설정'!$C$6:$C$55,D112,'3_채널별_비용설정'!$D$6:$D$55,"&lt;="&amp;B112,'3_채널별_비용설정'!$L$6:$L$55,"&gt;="&amp;B112)))</f>
      </c>
      <c r="L112" s="12" t="str">
        <f>IF(J112="","",IF(J112&lt;&gt;"정상","비용 설정 필요",ROUND(F112*K112,0)))</f>
      </c>
      <c r="M112" s="12" t="str">
        <f>IF(J112="","",IF(J112&lt;&gt;"정상","비용 설정 필요",SUMIFS('3_채널별_비용설정'!$J$6:$J$55,'3_채널별_비용설정'!$C$6:$C$55,D112,'3_채널별_비용설정'!$D$6:$D$55,"&lt;="&amp;B112,'3_채널별_비용설정'!$L$6:$L$55,"&gt;="&amp;B112)))</f>
      </c>
      <c r="N112" s="12" t="str">
        <f>IF(J112="","",IF(J112&lt;&gt;"정상","비용 설정 필요",E112*M112))</f>
      </c>
      <c r="O112" s="12" t="str">
        <f>IF(J112="","",IF(J112&lt;&gt;"정상","비용 설정 필요",G112+L112+N112+H112))</f>
      </c>
      <c r="P112" s="13" t="str">
        <f>IF(J112="","",IF(J112&lt;&gt;"정상","비용 설정 필요",F112-O112))</f>
      </c>
      <c r="Q112" s="14" t="str">
        <f>IF(J112="","",IF(J112&lt;&gt;"정상","비용 설정 필요",IFERROR(P112/F112,0)))</f>
      </c>
    </row>
    <row r="113">
      <c r="B113" s="7"/>
      <c r="C113" s="5"/>
      <c r="D113" s="5"/>
      <c r="E113" s="8"/>
      <c r="F113" s="8"/>
      <c r="G113" s="8"/>
      <c r="H113" s="8"/>
      <c r="I113" s="6"/>
      <c r="J113" s="10" t="str">
        <f>IF(AND(B113="",C113="",D113=""),"",IF(OR(B113="",D113=""),"비용 설정 필요",IF(COUNTIFS('3_채널별_비용설정'!$C$6:$C$55,D113,'3_채널별_비용설정'!$D$6:$D$55,"&lt;="&amp;B113,'3_채널별_비용설정'!$L$6:$L$55,"&gt;="&amp;B113)=0,"비용 설정 필요",IF(COUNTIFS('3_채널별_비용설정'!$C$6:$C$55,D113,'3_채널별_비용설정'!$D$6:$D$55,"&lt;="&amp;B113,'3_채널별_비용설정'!$L$6:$L$55,"&gt;="&amp;B113)&gt;1,"기간 중복 확인","정상"))))</f>
      </c>
      <c r="K113" s="15" t="str">
        <f>IF(J113="","",IF(J113&lt;&gt;"정상","비용 설정 필요",SUMIFS('3_채널별_비용설정'!$F$6:$F$55,'3_채널별_비용설정'!$C$6:$C$55,D113,'3_채널별_비용설정'!$D$6:$D$55,"&lt;="&amp;B113,'3_채널별_비용설정'!$L$6:$L$55,"&gt;="&amp;B113)))</f>
      </c>
      <c r="L113" s="12" t="str">
        <f>IF(J113="","",IF(J113&lt;&gt;"정상","비용 설정 필요",ROUND(F113*K113,0)))</f>
      </c>
      <c r="M113" s="12" t="str">
        <f>IF(J113="","",IF(J113&lt;&gt;"정상","비용 설정 필요",SUMIFS('3_채널별_비용설정'!$J$6:$J$55,'3_채널별_비용설정'!$C$6:$C$55,D113,'3_채널별_비용설정'!$D$6:$D$55,"&lt;="&amp;B113,'3_채널별_비용설정'!$L$6:$L$55,"&gt;="&amp;B113)))</f>
      </c>
      <c r="N113" s="12" t="str">
        <f>IF(J113="","",IF(J113&lt;&gt;"정상","비용 설정 필요",E113*M113))</f>
      </c>
      <c r="O113" s="12" t="str">
        <f>IF(J113="","",IF(J113&lt;&gt;"정상","비용 설정 필요",G113+L113+N113+H113))</f>
      </c>
      <c r="P113" s="13" t="str">
        <f>IF(J113="","",IF(J113&lt;&gt;"정상","비용 설정 필요",F113-O113))</f>
      </c>
      <c r="Q113" s="14" t="str">
        <f>IF(J113="","",IF(J113&lt;&gt;"정상","비용 설정 필요",IFERROR(P113/F113,0)))</f>
      </c>
    </row>
    <row r="114">
      <c r="B114" s="7"/>
      <c r="C114" s="5"/>
      <c r="D114" s="5"/>
      <c r="E114" s="8"/>
      <c r="F114" s="8"/>
      <c r="G114" s="8"/>
      <c r="H114" s="8"/>
      <c r="I114" s="6"/>
      <c r="J114" s="10" t="str">
        <f>IF(AND(B114="",C114="",D114=""),"",IF(OR(B114="",D114=""),"비용 설정 필요",IF(COUNTIFS('3_채널별_비용설정'!$C$6:$C$55,D114,'3_채널별_비용설정'!$D$6:$D$55,"&lt;="&amp;B114,'3_채널별_비용설정'!$L$6:$L$55,"&gt;="&amp;B114)=0,"비용 설정 필요",IF(COUNTIFS('3_채널별_비용설정'!$C$6:$C$55,D114,'3_채널별_비용설정'!$D$6:$D$55,"&lt;="&amp;B114,'3_채널별_비용설정'!$L$6:$L$55,"&gt;="&amp;B114)&gt;1,"기간 중복 확인","정상"))))</f>
      </c>
      <c r="K114" s="15" t="str">
        <f>IF(J114="","",IF(J114&lt;&gt;"정상","비용 설정 필요",SUMIFS('3_채널별_비용설정'!$F$6:$F$55,'3_채널별_비용설정'!$C$6:$C$55,D114,'3_채널별_비용설정'!$D$6:$D$55,"&lt;="&amp;B114,'3_채널별_비용설정'!$L$6:$L$55,"&gt;="&amp;B114)))</f>
      </c>
      <c r="L114" s="12" t="str">
        <f>IF(J114="","",IF(J114&lt;&gt;"정상","비용 설정 필요",ROUND(F114*K114,0)))</f>
      </c>
      <c r="M114" s="12" t="str">
        <f>IF(J114="","",IF(J114&lt;&gt;"정상","비용 설정 필요",SUMIFS('3_채널별_비용설정'!$J$6:$J$55,'3_채널별_비용설정'!$C$6:$C$55,D114,'3_채널별_비용설정'!$D$6:$D$55,"&lt;="&amp;B114,'3_채널별_비용설정'!$L$6:$L$55,"&gt;="&amp;B114)))</f>
      </c>
      <c r="N114" s="12" t="str">
        <f>IF(J114="","",IF(J114&lt;&gt;"정상","비용 설정 필요",E114*M114))</f>
      </c>
      <c r="O114" s="12" t="str">
        <f>IF(J114="","",IF(J114&lt;&gt;"정상","비용 설정 필요",G114+L114+N114+H114))</f>
      </c>
      <c r="P114" s="13" t="str">
        <f>IF(J114="","",IF(J114&lt;&gt;"정상","비용 설정 필요",F114-O114))</f>
      </c>
      <c r="Q114" s="14" t="str">
        <f>IF(J114="","",IF(J114&lt;&gt;"정상","비용 설정 필요",IFERROR(P114/F114,0)))</f>
      </c>
    </row>
    <row r="115">
      <c r="B115" s="7"/>
      <c r="C115" s="5"/>
      <c r="D115" s="5"/>
      <c r="E115" s="8"/>
      <c r="F115" s="8"/>
      <c r="G115" s="8"/>
      <c r="H115" s="8"/>
      <c r="I115" s="6"/>
      <c r="J115" s="10" t="str">
        <f>IF(AND(B115="",C115="",D115=""),"",IF(OR(B115="",D115=""),"비용 설정 필요",IF(COUNTIFS('3_채널별_비용설정'!$C$6:$C$55,D115,'3_채널별_비용설정'!$D$6:$D$55,"&lt;="&amp;B115,'3_채널별_비용설정'!$L$6:$L$55,"&gt;="&amp;B115)=0,"비용 설정 필요",IF(COUNTIFS('3_채널별_비용설정'!$C$6:$C$55,D115,'3_채널별_비용설정'!$D$6:$D$55,"&lt;="&amp;B115,'3_채널별_비용설정'!$L$6:$L$55,"&gt;="&amp;B115)&gt;1,"기간 중복 확인","정상"))))</f>
      </c>
      <c r="K115" s="15" t="str">
        <f>IF(J115="","",IF(J115&lt;&gt;"정상","비용 설정 필요",SUMIFS('3_채널별_비용설정'!$F$6:$F$55,'3_채널별_비용설정'!$C$6:$C$55,D115,'3_채널별_비용설정'!$D$6:$D$55,"&lt;="&amp;B115,'3_채널별_비용설정'!$L$6:$L$55,"&gt;="&amp;B115)))</f>
      </c>
      <c r="L115" s="12" t="str">
        <f>IF(J115="","",IF(J115&lt;&gt;"정상","비용 설정 필요",ROUND(F115*K115,0)))</f>
      </c>
      <c r="M115" s="12" t="str">
        <f>IF(J115="","",IF(J115&lt;&gt;"정상","비용 설정 필요",SUMIFS('3_채널별_비용설정'!$J$6:$J$55,'3_채널별_비용설정'!$C$6:$C$55,D115,'3_채널별_비용설정'!$D$6:$D$55,"&lt;="&amp;B115,'3_채널별_비용설정'!$L$6:$L$55,"&gt;="&amp;B115)))</f>
      </c>
      <c r="N115" s="12" t="str">
        <f>IF(J115="","",IF(J115&lt;&gt;"정상","비용 설정 필요",E115*M115))</f>
      </c>
      <c r="O115" s="12" t="str">
        <f>IF(J115="","",IF(J115&lt;&gt;"정상","비용 설정 필요",G115+L115+N115+H115))</f>
      </c>
      <c r="P115" s="13" t="str">
        <f>IF(J115="","",IF(J115&lt;&gt;"정상","비용 설정 필요",F115-O115))</f>
      </c>
      <c r="Q115" s="14" t="str">
        <f>IF(J115="","",IF(J115&lt;&gt;"정상","비용 설정 필요",IFERROR(P115/F115,0)))</f>
      </c>
    </row>
    <row r="116">
      <c r="B116" s="7"/>
      <c r="C116" s="5"/>
      <c r="D116" s="5"/>
      <c r="E116" s="8"/>
      <c r="F116" s="8"/>
      <c r="G116" s="8"/>
      <c r="H116" s="8"/>
      <c r="I116" s="6"/>
      <c r="J116" s="10" t="str">
        <f>IF(AND(B116="",C116="",D116=""),"",IF(OR(B116="",D116=""),"비용 설정 필요",IF(COUNTIFS('3_채널별_비용설정'!$C$6:$C$55,D116,'3_채널별_비용설정'!$D$6:$D$55,"&lt;="&amp;B116,'3_채널별_비용설정'!$L$6:$L$55,"&gt;="&amp;B116)=0,"비용 설정 필요",IF(COUNTIFS('3_채널별_비용설정'!$C$6:$C$55,D116,'3_채널별_비용설정'!$D$6:$D$55,"&lt;="&amp;B116,'3_채널별_비용설정'!$L$6:$L$55,"&gt;="&amp;B116)&gt;1,"기간 중복 확인","정상"))))</f>
      </c>
      <c r="K116" s="15" t="str">
        <f>IF(J116="","",IF(J116&lt;&gt;"정상","비용 설정 필요",SUMIFS('3_채널별_비용설정'!$F$6:$F$55,'3_채널별_비용설정'!$C$6:$C$55,D116,'3_채널별_비용설정'!$D$6:$D$55,"&lt;="&amp;B116,'3_채널별_비용설정'!$L$6:$L$55,"&gt;="&amp;B116)))</f>
      </c>
      <c r="L116" s="12" t="str">
        <f>IF(J116="","",IF(J116&lt;&gt;"정상","비용 설정 필요",ROUND(F116*K116,0)))</f>
      </c>
      <c r="M116" s="12" t="str">
        <f>IF(J116="","",IF(J116&lt;&gt;"정상","비용 설정 필요",SUMIFS('3_채널별_비용설정'!$J$6:$J$55,'3_채널별_비용설정'!$C$6:$C$55,D116,'3_채널별_비용설정'!$D$6:$D$55,"&lt;="&amp;B116,'3_채널별_비용설정'!$L$6:$L$55,"&gt;="&amp;B116)))</f>
      </c>
      <c r="N116" s="12" t="str">
        <f>IF(J116="","",IF(J116&lt;&gt;"정상","비용 설정 필요",E116*M116))</f>
      </c>
      <c r="O116" s="12" t="str">
        <f>IF(J116="","",IF(J116&lt;&gt;"정상","비용 설정 필요",G116+L116+N116+H116))</f>
      </c>
      <c r="P116" s="13" t="str">
        <f>IF(J116="","",IF(J116&lt;&gt;"정상","비용 설정 필요",F116-O116))</f>
      </c>
      <c r="Q116" s="14" t="str">
        <f>IF(J116="","",IF(J116&lt;&gt;"정상","비용 설정 필요",IFERROR(P116/F116,0)))</f>
      </c>
    </row>
    <row r="117">
      <c r="B117" s="7"/>
      <c r="C117" s="5"/>
      <c r="D117" s="5"/>
      <c r="E117" s="8"/>
      <c r="F117" s="8"/>
      <c r="G117" s="8"/>
      <c r="H117" s="8"/>
      <c r="I117" s="6"/>
      <c r="J117" s="10" t="str">
        <f>IF(AND(B117="",C117="",D117=""),"",IF(OR(B117="",D117=""),"비용 설정 필요",IF(COUNTIFS('3_채널별_비용설정'!$C$6:$C$55,D117,'3_채널별_비용설정'!$D$6:$D$55,"&lt;="&amp;B117,'3_채널별_비용설정'!$L$6:$L$55,"&gt;="&amp;B117)=0,"비용 설정 필요",IF(COUNTIFS('3_채널별_비용설정'!$C$6:$C$55,D117,'3_채널별_비용설정'!$D$6:$D$55,"&lt;="&amp;B117,'3_채널별_비용설정'!$L$6:$L$55,"&gt;="&amp;B117)&gt;1,"기간 중복 확인","정상"))))</f>
      </c>
      <c r="K117" s="15" t="str">
        <f>IF(J117="","",IF(J117&lt;&gt;"정상","비용 설정 필요",SUMIFS('3_채널별_비용설정'!$F$6:$F$55,'3_채널별_비용설정'!$C$6:$C$55,D117,'3_채널별_비용설정'!$D$6:$D$55,"&lt;="&amp;B117,'3_채널별_비용설정'!$L$6:$L$55,"&gt;="&amp;B117)))</f>
      </c>
      <c r="L117" s="12" t="str">
        <f>IF(J117="","",IF(J117&lt;&gt;"정상","비용 설정 필요",ROUND(F117*K117,0)))</f>
      </c>
      <c r="M117" s="12" t="str">
        <f>IF(J117="","",IF(J117&lt;&gt;"정상","비용 설정 필요",SUMIFS('3_채널별_비용설정'!$J$6:$J$55,'3_채널별_비용설정'!$C$6:$C$55,D117,'3_채널별_비용설정'!$D$6:$D$55,"&lt;="&amp;B117,'3_채널별_비용설정'!$L$6:$L$55,"&gt;="&amp;B117)))</f>
      </c>
      <c r="N117" s="12" t="str">
        <f>IF(J117="","",IF(J117&lt;&gt;"정상","비용 설정 필요",E117*M117))</f>
      </c>
      <c r="O117" s="12" t="str">
        <f>IF(J117="","",IF(J117&lt;&gt;"정상","비용 설정 필요",G117+L117+N117+H117))</f>
      </c>
      <c r="P117" s="13" t="str">
        <f>IF(J117="","",IF(J117&lt;&gt;"정상","비용 설정 필요",F117-O117))</f>
      </c>
      <c r="Q117" s="14" t="str">
        <f>IF(J117="","",IF(J117&lt;&gt;"정상","비용 설정 필요",IFERROR(P117/F117,0)))</f>
      </c>
    </row>
    <row r="118">
      <c r="B118" s="7"/>
      <c r="C118" s="5"/>
      <c r="D118" s="5"/>
      <c r="E118" s="8"/>
      <c r="F118" s="8"/>
      <c r="G118" s="8"/>
      <c r="H118" s="8"/>
      <c r="I118" s="6"/>
      <c r="J118" s="10" t="str">
        <f>IF(AND(B118="",C118="",D118=""),"",IF(OR(B118="",D118=""),"비용 설정 필요",IF(COUNTIFS('3_채널별_비용설정'!$C$6:$C$55,D118,'3_채널별_비용설정'!$D$6:$D$55,"&lt;="&amp;B118,'3_채널별_비용설정'!$L$6:$L$55,"&gt;="&amp;B118)=0,"비용 설정 필요",IF(COUNTIFS('3_채널별_비용설정'!$C$6:$C$55,D118,'3_채널별_비용설정'!$D$6:$D$55,"&lt;="&amp;B118,'3_채널별_비용설정'!$L$6:$L$55,"&gt;="&amp;B118)&gt;1,"기간 중복 확인","정상"))))</f>
      </c>
      <c r="K118" s="15" t="str">
        <f>IF(J118="","",IF(J118&lt;&gt;"정상","비용 설정 필요",SUMIFS('3_채널별_비용설정'!$F$6:$F$55,'3_채널별_비용설정'!$C$6:$C$55,D118,'3_채널별_비용설정'!$D$6:$D$55,"&lt;="&amp;B118,'3_채널별_비용설정'!$L$6:$L$55,"&gt;="&amp;B118)))</f>
      </c>
      <c r="L118" s="12" t="str">
        <f>IF(J118="","",IF(J118&lt;&gt;"정상","비용 설정 필요",ROUND(F118*K118,0)))</f>
      </c>
      <c r="M118" s="12" t="str">
        <f>IF(J118="","",IF(J118&lt;&gt;"정상","비용 설정 필요",SUMIFS('3_채널별_비용설정'!$J$6:$J$55,'3_채널별_비용설정'!$C$6:$C$55,D118,'3_채널별_비용설정'!$D$6:$D$55,"&lt;="&amp;B118,'3_채널별_비용설정'!$L$6:$L$55,"&gt;="&amp;B118)))</f>
      </c>
      <c r="N118" s="12" t="str">
        <f>IF(J118="","",IF(J118&lt;&gt;"정상","비용 설정 필요",E118*M118))</f>
      </c>
      <c r="O118" s="12" t="str">
        <f>IF(J118="","",IF(J118&lt;&gt;"정상","비용 설정 필요",G118+L118+N118+H118))</f>
      </c>
      <c r="P118" s="13" t="str">
        <f>IF(J118="","",IF(J118&lt;&gt;"정상","비용 설정 필요",F118-O118))</f>
      </c>
      <c r="Q118" s="14" t="str">
        <f>IF(J118="","",IF(J118&lt;&gt;"정상","비용 설정 필요",IFERROR(P118/F118,0)))</f>
      </c>
    </row>
    <row r="119">
      <c r="B119" s="7"/>
      <c r="C119" s="5"/>
      <c r="D119" s="5"/>
      <c r="E119" s="8"/>
      <c r="F119" s="8"/>
      <c r="G119" s="8"/>
      <c r="H119" s="8"/>
      <c r="I119" s="6"/>
      <c r="J119" s="10" t="str">
        <f>IF(AND(B119="",C119="",D119=""),"",IF(OR(B119="",D119=""),"비용 설정 필요",IF(COUNTIFS('3_채널별_비용설정'!$C$6:$C$55,D119,'3_채널별_비용설정'!$D$6:$D$55,"&lt;="&amp;B119,'3_채널별_비용설정'!$L$6:$L$55,"&gt;="&amp;B119)=0,"비용 설정 필요",IF(COUNTIFS('3_채널별_비용설정'!$C$6:$C$55,D119,'3_채널별_비용설정'!$D$6:$D$55,"&lt;="&amp;B119,'3_채널별_비용설정'!$L$6:$L$55,"&gt;="&amp;B119)&gt;1,"기간 중복 확인","정상"))))</f>
      </c>
      <c r="K119" s="15" t="str">
        <f>IF(J119="","",IF(J119&lt;&gt;"정상","비용 설정 필요",SUMIFS('3_채널별_비용설정'!$F$6:$F$55,'3_채널별_비용설정'!$C$6:$C$55,D119,'3_채널별_비용설정'!$D$6:$D$55,"&lt;="&amp;B119,'3_채널별_비용설정'!$L$6:$L$55,"&gt;="&amp;B119)))</f>
      </c>
      <c r="L119" s="12" t="str">
        <f>IF(J119="","",IF(J119&lt;&gt;"정상","비용 설정 필요",ROUND(F119*K119,0)))</f>
      </c>
      <c r="M119" s="12" t="str">
        <f>IF(J119="","",IF(J119&lt;&gt;"정상","비용 설정 필요",SUMIFS('3_채널별_비용설정'!$J$6:$J$55,'3_채널별_비용설정'!$C$6:$C$55,D119,'3_채널별_비용설정'!$D$6:$D$55,"&lt;="&amp;B119,'3_채널별_비용설정'!$L$6:$L$55,"&gt;="&amp;B119)))</f>
      </c>
      <c r="N119" s="12" t="str">
        <f>IF(J119="","",IF(J119&lt;&gt;"정상","비용 설정 필요",E119*M119))</f>
      </c>
      <c r="O119" s="12" t="str">
        <f>IF(J119="","",IF(J119&lt;&gt;"정상","비용 설정 필요",G119+L119+N119+H119))</f>
      </c>
      <c r="P119" s="13" t="str">
        <f>IF(J119="","",IF(J119&lt;&gt;"정상","비용 설정 필요",F119-O119))</f>
      </c>
      <c r="Q119" s="14" t="str">
        <f>IF(J119="","",IF(J119&lt;&gt;"정상","비용 설정 필요",IFERROR(P119/F119,0)))</f>
      </c>
    </row>
    <row r="120">
      <c r="B120" s="7"/>
      <c r="C120" s="5"/>
      <c r="D120" s="5"/>
      <c r="E120" s="8"/>
      <c r="F120" s="8"/>
      <c r="G120" s="8"/>
      <c r="H120" s="8"/>
      <c r="I120" s="6"/>
      <c r="J120" s="10" t="str">
        <f>IF(AND(B120="",C120="",D120=""),"",IF(OR(B120="",D120=""),"비용 설정 필요",IF(COUNTIFS('3_채널별_비용설정'!$C$6:$C$55,D120,'3_채널별_비용설정'!$D$6:$D$55,"&lt;="&amp;B120,'3_채널별_비용설정'!$L$6:$L$55,"&gt;="&amp;B120)=0,"비용 설정 필요",IF(COUNTIFS('3_채널별_비용설정'!$C$6:$C$55,D120,'3_채널별_비용설정'!$D$6:$D$55,"&lt;="&amp;B120,'3_채널별_비용설정'!$L$6:$L$55,"&gt;="&amp;B120)&gt;1,"기간 중복 확인","정상"))))</f>
      </c>
      <c r="K120" s="15" t="str">
        <f>IF(J120="","",IF(J120&lt;&gt;"정상","비용 설정 필요",SUMIFS('3_채널별_비용설정'!$F$6:$F$55,'3_채널별_비용설정'!$C$6:$C$55,D120,'3_채널별_비용설정'!$D$6:$D$55,"&lt;="&amp;B120,'3_채널별_비용설정'!$L$6:$L$55,"&gt;="&amp;B120)))</f>
      </c>
      <c r="L120" s="12" t="str">
        <f>IF(J120="","",IF(J120&lt;&gt;"정상","비용 설정 필요",ROUND(F120*K120,0)))</f>
      </c>
      <c r="M120" s="12" t="str">
        <f>IF(J120="","",IF(J120&lt;&gt;"정상","비용 설정 필요",SUMIFS('3_채널별_비용설정'!$J$6:$J$55,'3_채널별_비용설정'!$C$6:$C$55,D120,'3_채널별_비용설정'!$D$6:$D$55,"&lt;="&amp;B120,'3_채널별_비용설정'!$L$6:$L$55,"&gt;="&amp;B120)))</f>
      </c>
      <c r="N120" s="12" t="str">
        <f>IF(J120="","",IF(J120&lt;&gt;"정상","비용 설정 필요",E120*M120))</f>
      </c>
      <c r="O120" s="12" t="str">
        <f>IF(J120="","",IF(J120&lt;&gt;"정상","비용 설정 필요",G120+L120+N120+H120))</f>
      </c>
      <c r="P120" s="13" t="str">
        <f>IF(J120="","",IF(J120&lt;&gt;"정상","비용 설정 필요",F120-O120))</f>
      </c>
      <c r="Q120" s="14" t="str">
        <f>IF(J120="","",IF(J120&lt;&gt;"정상","비용 설정 필요",IFERROR(P120/F120,0)))</f>
      </c>
    </row>
    <row r="121">
      <c r="B121" s="7"/>
      <c r="C121" s="5"/>
      <c r="D121" s="5"/>
      <c r="E121" s="8"/>
      <c r="F121" s="8"/>
      <c r="G121" s="8"/>
      <c r="H121" s="8"/>
      <c r="I121" s="6"/>
      <c r="J121" s="10" t="str">
        <f>IF(AND(B121="",C121="",D121=""),"",IF(OR(B121="",D121=""),"비용 설정 필요",IF(COUNTIFS('3_채널별_비용설정'!$C$6:$C$55,D121,'3_채널별_비용설정'!$D$6:$D$55,"&lt;="&amp;B121,'3_채널별_비용설정'!$L$6:$L$55,"&gt;="&amp;B121)=0,"비용 설정 필요",IF(COUNTIFS('3_채널별_비용설정'!$C$6:$C$55,D121,'3_채널별_비용설정'!$D$6:$D$55,"&lt;="&amp;B121,'3_채널별_비용설정'!$L$6:$L$55,"&gt;="&amp;B121)&gt;1,"기간 중복 확인","정상"))))</f>
      </c>
      <c r="K121" s="15" t="str">
        <f>IF(J121="","",IF(J121&lt;&gt;"정상","비용 설정 필요",SUMIFS('3_채널별_비용설정'!$F$6:$F$55,'3_채널별_비용설정'!$C$6:$C$55,D121,'3_채널별_비용설정'!$D$6:$D$55,"&lt;="&amp;B121,'3_채널별_비용설정'!$L$6:$L$55,"&gt;="&amp;B121)))</f>
      </c>
      <c r="L121" s="12" t="str">
        <f>IF(J121="","",IF(J121&lt;&gt;"정상","비용 설정 필요",ROUND(F121*K121,0)))</f>
      </c>
      <c r="M121" s="12" t="str">
        <f>IF(J121="","",IF(J121&lt;&gt;"정상","비용 설정 필요",SUMIFS('3_채널별_비용설정'!$J$6:$J$55,'3_채널별_비용설정'!$C$6:$C$55,D121,'3_채널별_비용설정'!$D$6:$D$55,"&lt;="&amp;B121,'3_채널별_비용설정'!$L$6:$L$55,"&gt;="&amp;B121)))</f>
      </c>
      <c r="N121" s="12" t="str">
        <f>IF(J121="","",IF(J121&lt;&gt;"정상","비용 설정 필요",E121*M121))</f>
      </c>
      <c r="O121" s="12" t="str">
        <f>IF(J121="","",IF(J121&lt;&gt;"정상","비용 설정 필요",G121+L121+N121+H121))</f>
      </c>
      <c r="P121" s="13" t="str">
        <f>IF(J121="","",IF(J121&lt;&gt;"정상","비용 설정 필요",F121-O121))</f>
      </c>
      <c r="Q121" s="14" t="str">
        <f>IF(J121="","",IF(J121&lt;&gt;"정상","비용 설정 필요",IFERROR(P121/F121,0)))</f>
      </c>
    </row>
    <row r="122">
      <c r="B122" s="7"/>
      <c r="C122" s="5"/>
      <c r="D122" s="5"/>
      <c r="E122" s="8"/>
      <c r="F122" s="8"/>
      <c r="G122" s="8"/>
      <c r="H122" s="8"/>
      <c r="I122" s="6"/>
      <c r="J122" s="10" t="str">
        <f>IF(AND(B122="",C122="",D122=""),"",IF(OR(B122="",D122=""),"비용 설정 필요",IF(COUNTIFS('3_채널별_비용설정'!$C$6:$C$55,D122,'3_채널별_비용설정'!$D$6:$D$55,"&lt;="&amp;B122,'3_채널별_비용설정'!$L$6:$L$55,"&gt;="&amp;B122)=0,"비용 설정 필요",IF(COUNTIFS('3_채널별_비용설정'!$C$6:$C$55,D122,'3_채널별_비용설정'!$D$6:$D$55,"&lt;="&amp;B122,'3_채널별_비용설정'!$L$6:$L$55,"&gt;="&amp;B122)&gt;1,"기간 중복 확인","정상"))))</f>
      </c>
      <c r="K122" s="15" t="str">
        <f>IF(J122="","",IF(J122&lt;&gt;"정상","비용 설정 필요",SUMIFS('3_채널별_비용설정'!$F$6:$F$55,'3_채널별_비용설정'!$C$6:$C$55,D122,'3_채널별_비용설정'!$D$6:$D$55,"&lt;="&amp;B122,'3_채널별_비용설정'!$L$6:$L$55,"&gt;="&amp;B122)))</f>
      </c>
      <c r="L122" s="12" t="str">
        <f>IF(J122="","",IF(J122&lt;&gt;"정상","비용 설정 필요",ROUND(F122*K122,0)))</f>
      </c>
      <c r="M122" s="12" t="str">
        <f>IF(J122="","",IF(J122&lt;&gt;"정상","비용 설정 필요",SUMIFS('3_채널별_비용설정'!$J$6:$J$55,'3_채널별_비용설정'!$C$6:$C$55,D122,'3_채널별_비용설정'!$D$6:$D$55,"&lt;="&amp;B122,'3_채널별_비용설정'!$L$6:$L$55,"&gt;="&amp;B122)))</f>
      </c>
      <c r="N122" s="12" t="str">
        <f>IF(J122="","",IF(J122&lt;&gt;"정상","비용 설정 필요",E122*M122))</f>
      </c>
      <c r="O122" s="12" t="str">
        <f>IF(J122="","",IF(J122&lt;&gt;"정상","비용 설정 필요",G122+L122+N122+H122))</f>
      </c>
      <c r="P122" s="13" t="str">
        <f>IF(J122="","",IF(J122&lt;&gt;"정상","비용 설정 필요",F122-O122))</f>
      </c>
      <c r="Q122" s="14" t="str">
        <f>IF(J122="","",IF(J122&lt;&gt;"정상","비용 설정 필요",IFERROR(P122/F122,0)))</f>
      </c>
    </row>
    <row r="123">
      <c r="B123" s="7"/>
      <c r="C123" s="5"/>
      <c r="D123" s="5"/>
      <c r="E123" s="8"/>
      <c r="F123" s="8"/>
      <c r="G123" s="8"/>
      <c r="H123" s="8"/>
      <c r="I123" s="6"/>
      <c r="J123" s="10" t="str">
        <f>IF(AND(B123="",C123="",D123=""),"",IF(OR(B123="",D123=""),"비용 설정 필요",IF(COUNTIFS('3_채널별_비용설정'!$C$6:$C$55,D123,'3_채널별_비용설정'!$D$6:$D$55,"&lt;="&amp;B123,'3_채널별_비용설정'!$L$6:$L$55,"&gt;="&amp;B123)=0,"비용 설정 필요",IF(COUNTIFS('3_채널별_비용설정'!$C$6:$C$55,D123,'3_채널별_비용설정'!$D$6:$D$55,"&lt;="&amp;B123,'3_채널별_비용설정'!$L$6:$L$55,"&gt;="&amp;B123)&gt;1,"기간 중복 확인","정상"))))</f>
      </c>
      <c r="K123" s="15" t="str">
        <f>IF(J123="","",IF(J123&lt;&gt;"정상","비용 설정 필요",SUMIFS('3_채널별_비용설정'!$F$6:$F$55,'3_채널별_비용설정'!$C$6:$C$55,D123,'3_채널별_비용설정'!$D$6:$D$55,"&lt;="&amp;B123,'3_채널별_비용설정'!$L$6:$L$55,"&gt;="&amp;B123)))</f>
      </c>
      <c r="L123" s="12" t="str">
        <f>IF(J123="","",IF(J123&lt;&gt;"정상","비용 설정 필요",ROUND(F123*K123,0)))</f>
      </c>
      <c r="M123" s="12" t="str">
        <f>IF(J123="","",IF(J123&lt;&gt;"정상","비용 설정 필요",SUMIFS('3_채널별_비용설정'!$J$6:$J$55,'3_채널별_비용설정'!$C$6:$C$55,D123,'3_채널별_비용설정'!$D$6:$D$55,"&lt;="&amp;B123,'3_채널별_비용설정'!$L$6:$L$55,"&gt;="&amp;B123)))</f>
      </c>
      <c r="N123" s="12" t="str">
        <f>IF(J123="","",IF(J123&lt;&gt;"정상","비용 설정 필요",E123*M123))</f>
      </c>
      <c r="O123" s="12" t="str">
        <f>IF(J123="","",IF(J123&lt;&gt;"정상","비용 설정 필요",G123+L123+N123+H123))</f>
      </c>
      <c r="P123" s="13" t="str">
        <f>IF(J123="","",IF(J123&lt;&gt;"정상","비용 설정 필요",F123-O123))</f>
      </c>
      <c r="Q123" s="14" t="str">
        <f>IF(J123="","",IF(J123&lt;&gt;"정상","비용 설정 필요",IFERROR(P123/F123,0)))</f>
      </c>
    </row>
    <row r="124">
      <c r="B124" s="7"/>
      <c r="C124" s="5"/>
      <c r="D124" s="5"/>
      <c r="E124" s="8"/>
      <c r="F124" s="8"/>
      <c r="G124" s="8"/>
      <c r="H124" s="8"/>
      <c r="I124" s="6"/>
      <c r="J124" s="10" t="str">
        <f>IF(AND(B124="",C124="",D124=""),"",IF(OR(B124="",D124=""),"비용 설정 필요",IF(COUNTIFS('3_채널별_비용설정'!$C$6:$C$55,D124,'3_채널별_비용설정'!$D$6:$D$55,"&lt;="&amp;B124,'3_채널별_비용설정'!$L$6:$L$55,"&gt;="&amp;B124)=0,"비용 설정 필요",IF(COUNTIFS('3_채널별_비용설정'!$C$6:$C$55,D124,'3_채널별_비용설정'!$D$6:$D$55,"&lt;="&amp;B124,'3_채널별_비용설정'!$L$6:$L$55,"&gt;="&amp;B124)&gt;1,"기간 중복 확인","정상"))))</f>
      </c>
      <c r="K124" s="15" t="str">
        <f>IF(J124="","",IF(J124&lt;&gt;"정상","비용 설정 필요",SUMIFS('3_채널별_비용설정'!$F$6:$F$55,'3_채널별_비용설정'!$C$6:$C$55,D124,'3_채널별_비용설정'!$D$6:$D$55,"&lt;="&amp;B124,'3_채널별_비용설정'!$L$6:$L$55,"&gt;="&amp;B124)))</f>
      </c>
      <c r="L124" s="12" t="str">
        <f>IF(J124="","",IF(J124&lt;&gt;"정상","비용 설정 필요",ROUND(F124*K124,0)))</f>
      </c>
      <c r="M124" s="12" t="str">
        <f>IF(J124="","",IF(J124&lt;&gt;"정상","비용 설정 필요",SUMIFS('3_채널별_비용설정'!$J$6:$J$55,'3_채널별_비용설정'!$C$6:$C$55,D124,'3_채널별_비용설정'!$D$6:$D$55,"&lt;="&amp;B124,'3_채널별_비용설정'!$L$6:$L$55,"&gt;="&amp;B124)))</f>
      </c>
      <c r="N124" s="12" t="str">
        <f>IF(J124="","",IF(J124&lt;&gt;"정상","비용 설정 필요",E124*M124))</f>
      </c>
      <c r="O124" s="12" t="str">
        <f>IF(J124="","",IF(J124&lt;&gt;"정상","비용 설정 필요",G124+L124+N124+H124))</f>
      </c>
      <c r="P124" s="13" t="str">
        <f>IF(J124="","",IF(J124&lt;&gt;"정상","비용 설정 필요",F124-O124))</f>
      </c>
      <c r="Q124" s="14" t="str">
        <f>IF(J124="","",IF(J124&lt;&gt;"정상","비용 설정 필요",IFERROR(P124/F124,0)))</f>
      </c>
    </row>
    <row r="125">
      <c r="B125" s="7"/>
      <c r="C125" s="5"/>
      <c r="D125" s="5"/>
      <c r="E125" s="8"/>
      <c r="F125" s="8"/>
      <c r="G125" s="8"/>
      <c r="H125" s="8"/>
      <c r="I125" s="6"/>
      <c r="J125" s="10" t="str">
        <f>IF(AND(B125="",C125="",D125=""),"",IF(OR(B125="",D125=""),"비용 설정 필요",IF(COUNTIFS('3_채널별_비용설정'!$C$6:$C$55,D125,'3_채널별_비용설정'!$D$6:$D$55,"&lt;="&amp;B125,'3_채널별_비용설정'!$L$6:$L$55,"&gt;="&amp;B125)=0,"비용 설정 필요",IF(COUNTIFS('3_채널별_비용설정'!$C$6:$C$55,D125,'3_채널별_비용설정'!$D$6:$D$55,"&lt;="&amp;B125,'3_채널별_비용설정'!$L$6:$L$55,"&gt;="&amp;B125)&gt;1,"기간 중복 확인","정상"))))</f>
      </c>
      <c r="K125" s="15" t="str">
        <f>IF(J125="","",IF(J125&lt;&gt;"정상","비용 설정 필요",SUMIFS('3_채널별_비용설정'!$F$6:$F$55,'3_채널별_비용설정'!$C$6:$C$55,D125,'3_채널별_비용설정'!$D$6:$D$55,"&lt;="&amp;B125,'3_채널별_비용설정'!$L$6:$L$55,"&gt;="&amp;B125)))</f>
      </c>
      <c r="L125" s="12" t="str">
        <f>IF(J125="","",IF(J125&lt;&gt;"정상","비용 설정 필요",ROUND(F125*K125,0)))</f>
      </c>
      <c r="M125" s="12" t="str">
        <f>IF(J125="","",IF(J125&lt;&gt;"정상","비용 설정 필요",SUMIFS('3_채널별_비용설정'!$J$6:$J$55,'3_채널별_비용설정'!$C$6:$C$55,D125,'3_채널별_비용설정'!$D$6:$D$55,"&lt;="&amp;B125,'3_채널별_비용설정'!$L$6:$L$55,"&gt;="&amp;B125)))</f>
      </c>
      <c r="N125" s="12" t="str">
        <f>IF(J125="","",IF(J125&lt;&gt;"정상","비용 설정 필요",E125*M125))</f>
      </c>
      <c r="O125" s="12" t="str">
        <f>IF(J125="","",IF(J125&lt;&gt;"정상","비용 설정 필요",G125+L125+N125+H125))</f>
      </c>
      <c r="P125" s="13" t="str">
        <f>IF(J125="","",IF(J125&lt;&gt;"정상","비용 설정 필요",F125-O125))</f>
      </c>
      <c r="Q125" s="14" t="str">
        <f>IF(J125="","",IF(J125&lt;&gt;"정상","비용 설정 필요",IFERROR(P125/F125,0)))</f>
      </c>
    </row>
    <row r="126">
      <c r="B126" s="7"/>
      <c r="C126" s="5"/>
      <c r="D126" s="5"/>
      <c r="E126" s="8"/>
      <c r="F126" s="8"/>
      <c r="G126" s="8"/>
      <c r="H126" s="8"/>
      <c r="I126" s="6"/>
      <c r="J126" s="10" t="str">
        <f>IF(AND(B126="",C126="",D126=""),"",IF(OR(B126="",D126=""),"비용 설정 필요",IF(COUNTIFS('3_채널별_비용설정'!$C$6:$C$55,D126,'3_채널별_비용설정'!$D$6:$D$55,"&lt;="&amp;B126,'3_채널별_비용설정'!$L$6:$L$55,"&gt;="&amp;B126)=0,"비용 설정 필요",IF(COUNTIFS('3_채널별_비용설정'!$C$6:$C$55,D126,'3_채널별_비용설정'!$D$6:$D$55,"&lt;="&amp;B126,'3_채널별_비용설정'!$L$6:$L$55,"&gt;="&amp;B126)&gt;1,"기간 중복 확인","정상"))))</f>
      </c>
      <c r="K126" s="15" t="str">
        <f>IF(J126="","",IF(J126&lt;&gt;"정상","비용 설정 필요",SUMIFS('3_채널별_비용설정'!$F$6:$F$55,'3_채널별_비용설정'!$C$6:$C$55,D126,'3_채널별_비용설정'!$D$6:$D$55,"&lt;="&amp;B126,'3_채널별_비용설정'!$L$6:$L$55,"&gt;="&amp;B126)))</f>
      </c>
      <c r="L126" s="12" t="str">
        <f>IF(J126="","",IF(J126&lt;&gt;"정상","비용 설정 필요",ROUND(F126*K126,0)))</f>
      </c>
      <c r="M126" s="12" t="str">
        <f>IF(J126="","",IF(J126&lt;&gt;"정상","비용 설정 필요",SUMIFS('3_채널별_비용설정'!$J$6:$J$55,'3_채널별_비용설정'!$C$6:$C$55,D126,'3_채널별_비용설정'!$D$6:$D$55,"&lt;="&amp;B126,'3_채널별_비용설정'!$L$6:$L$55,"&gt;="&amp;B126)))</f>
      </c>
      <c r="N126" s="12" t="str">
        <f>IF(J126="","",IF(J126&lt;&gt;"정상","비용 설정 필요",E126*M126))</f>
      </c>
      <c r="O126" s="12" t="str">
        <f>IF(J126="","",IF(J126&lt;&gt;"정상","비용 설정 필요",G126+L126+N126+H126))</f>
      </c>
      <c r="P126" s="13" t="str">
        <f>IF(J126="","",IF(J126&lt;&gt;"정상","비용 설정 필요",F126-O126))</f>
      </c>
      <c r="Q126" s="14" t="str">
        <f>IF(J126="","",IF(J126&lt;&gt;"정상","비용 설정 필요",IFERROR(P126/F126,0)))</f>
      </c>
    </row>
    <row r="127">
      <c r="B127" s="7"/>
      <c r="C127" s="5"/>
      <c r="D127" s="5"/>
      <c r="E127" s="8"/>
      <c r="F127" s="8"/>
      <c r="G127" s="8"/>
      <c r="H127" s="8"/>
      <c r="I127" s="6"/>
      <c r="J127" s="10" t="str">
        <f>IF(AND(B127="",C127="",D127=""),"",IF(OR(B127="",D127=""),"비용 설정 필요",IF(COUNTIFS('3_채널별_비용설정'!$C$6:$C$55,D127,'3_채널별_비용설정'!$D$6:$D$55,"&lt;="&amp;B127,'3_채널별_비용설정'!$L$6:$L$55,"&gt;="&amp;B127)=0,"비용 설정 필요",IF(COUNTIFS('3_채널별_비용설정'!$C$6:$C$55,D127,'3_채널별_비용설정'!$D$6:$D$55,"&lt;="&amp;B127,'3_채널별_비용설정'!$L$6:$L$55,"&gt;="&amp;B127)&gt;1,"기간 중복 확인","정상"))))</f>
      </c>
      <c r="K127" s="15" t="str">
        <f>IF(J127="","",IF(J127&lt;&gt;"정상","비용 설정 필요",SUMIFS('3_채널별_비용설정'!$F$6:$F$55,'3_채널별_비용설정'!$C$6:$C$55,D127,'3_채널별_비용설정'!$D$6:$D$55,"&lt;="&amp;B127,'3_채널별_비용설정'!$L$6:$L$55,"&gt;="&amp;B127)))</f>
      </c>
      <c r="L127" s="12" t="str">
        <f>IF(J127="","",IF(J127&lt;&gt;"정상","비용 설정 필요",ROUND(F127*K127,0)))</f>
      </c>
      <c r="M127" s="12" t="str">
        <f>IF(J127="","",IF(J127&lt;&gt;"정상","비용 설정 필요",SUMIFS('3_채널별_비용설정'!$J$6:$J$55,'3_채널별_비용설정'!$C$6:$C$55,D127,'3_채널별_비용설정'!$D$6:$D$55,"&lt;="&amp;B127,'3_채널별_비용설정'!$L$6:$L$55,"&gt;="&amp;B127)))</f>
      </c>
      <c r="N127" s="12" t="str">
        <f>IF(J127="","",IF(J127&lt;&gt;"정상","비용 설정 필요",E127*M127))</f>
      </c>
      <c r="O127" s="12" t="str">
        <f>IF(J127="","",IF(J127&lt;&gt;"정상","비용 설정 필요",G127+L127+N127+H127))</f>
      </c>
      <c r="P127" s="13" t="str">
        <f>IF(J127="","",IF(J127&lt;&gt;"정상","비용 설정 필요",F127-O127))</f>
      </c>
      <c r="Q127" s="14" t="str">
        <f>IF(J127="","",IF(J127&lt;&gt;"정상","비용 설정 필요",IFERROR(P127/F127,0)))</f>
      </c>
    </row>
    <row r="128">
      <c r="B128" s="7"/>
      <c r="C128" s="5"/>
      <c r="D128" s="5"/>
      <c r="E128" s="8"/>
      <c r="F128" s="8"/>
      <c r="G128" s="8"/>
      <c r="H128" s="8"/>
      <c r="I128" s="6"/>
      <c r="J128" s="10" t="str">
        <f>IF(AND(B128="",C128="",D128=""),"",IF(OR(B128="",D128=""),"비용 설정 필요",IF(COUNTIFS('3_채널별_비용설정'!$C$6:$C$55,D128,'3_채널별_비용설정'!$D$6:$D$55,"&lt;="&amp;B128,'3_채널별_비용설정'!$L$6:$L$55,"&gt;="&amp;B128)=0,"비용 설정 필요",IF(COUNTIFS('3_채널별_비용설정'!$C$6:$C$55,D128,'3_채널별_비용설정'!$D$6:$D$55,"&lt;="&amp;B128,'3_채널별_비용설정'!$L$6:$L$55,"&gt;="&amp;B128)&gt;1,"기간 중복 확인","정상"))))</f>
      </c>
      <c r="K128" s="15" t="str">
        <f>IF(J128="","",IF(J128&lt;&gt;"정상","비용 설정 필요",SUMIFS('3_채널별_비용설정'!$F$6:$F$55,'3_채널별_비용설정'!$C$6:$C$55,D128,'3_채널별_비용설정'!$D$6:$D$55,"&lt;="&amp;B128,'3_채널별_비용설정'!$L$6:$L$55,"&gt;="&amp;B128)))</f>
      </c>
      <c r="L128" s="12" t="str">
        <f>IF(J128="","",IF(J128&lt;&gt;"정상","비용 설정 필요",ROUND(F128*K128,0)))</f>
      </c>
      <c r="M128" s="12" t="str">
        <f>IF(J128="","",IF(J128&lt;&gt;"정상","비용 설정 필요",SUMIFS('3_채널별_비용설정'!$J$6:$J$55,'3_채널별_비용설정'!$C$6:$C$55,D128,'3_채널별_비용설정'!$D$6:$D$55,"&lt;="&amp;B128,'3_채널별_비용설정'!$L$6:$L$55,"&gt;="&amp;B128)))</f>
      </c>
      <c r="N128" s="12" t="str">
        <f>IF(J128="","",IF(J128&lt;&gt;"정상","비용 설정 필요",E128*M128))</f>
      </c>
      <c r="O128" s="12" t="str">
        <f>IF(J128="","",IF(J128&lt;&gt;"정상","비용 설정 필요",G128+L128+N128+H128))</f>
      </c>
      <c r="P128" s="13" t="str">
        <f>IF(J128="","",IF(J128&lt;&gt;"정상","비용 설정 필요",F128-O128))</f>
      </c>
      <c r="Q128" s="14" t="str">
        <f>IF(J128="","",IF(J128&lt;&gt;"정상","비용 설정 필요",IFERROR(P128/F128,0)))</f>
      </c>
    </row>
    <row r="129">
      <c r="B129" s="7"/>
      <c r="C129" s="5"/>
      <c r="D129" s="5"/>
      <c r="E129" s="8"/>
      <c r="F129" s="8"/>
      <c r="G129" s="8"/>
      <c r="H129" s="8"/>
      <c r="I129" s="6"/>
      <c r="J129" s="10" t="str">
        <f>IF(AND(B129="",C129="",D129=""),"",IF(OR(B129="",D129=""),"비용 설정 필요",IF(COUNTIFS('3_채널별_비용설정'!$C$6:$C$55,D129,'3_채널별_비용설정'!$D$6:$D$55,"&lt;="&amp;B129,'3_채널별_비용설정'!$L$6:$L$55,"&gt;="&amp;B129)=0,"비용 설정 필요",IF(COUNTIFS('3_채널별_비용설정'!$C$6:$C$55,D129,'3_채널별_비용설정'!$D$6:$D$55,"&lt;="&amp;B129,'3_채널별_비용설정'!$L$6:$L$55,"&gt;="&amp;B129)&gt;1,"기간 중복 확인","정상"))))</f>
      </c>
      <c r="K129" s="15" t="str">
        <f>IF(J129="","",IF(J129&lt;&gt;"정상","비용 설정 필요",SUMIFS('3_채널별_비용설정'!$F$6:$F$55,'3_채널별_비용설정'!$C$6:$C$55,D129,'3_채널별_비용설정'!$D$6:$D$55,"&lt;="&amp;B129,'3_채널별_비용설정'!$L$6:$L$55,"&gt;="&amp;B129)))</f>
      </c>
      <c r="L129" s="12" t="str">
        <f>IF(J129="","",IF(J129&lt;&gt;"정상","비용 설정 필요",ROUND(F129*K129,0)))</f>
      </c>
      <c r="M129" s="12" t="str">
        <f>IF(J129="","",IF(J129&lt;&gt;"정상","비용 설정 필요",SUMIFS('3_채널별_비용설정'!$J$6:$J$55,'3_채널별_비용설정'!$C$6:$C$55,D129,'3_채널별_비용설정'!$D$6:$D$55,"&lt;="&amp;B129,'3_채널별_비용설정'!$L$6:$L$55,"&gt;="&amp;B129)))</f>
      </c>
      <c r="N129" s="12" t="str">
        <f>IF(J129="","",IF(J129&lt;&gt;"정상","비용 설정 필요",E129*M129))</f>
      </c>
      <c r="O129" s="12" t="str">
        <f>IF(J129="","",IF(J129&lt;&gt;"정상","비용 설정 필요",G129+L129+N129+H129))</f>
      </c>
      <c r="P129" s="13" t="str">
        <f>IF(J129="","",IF(J129&lt;&gt;"정상","비용 설정 필요",F129-O129))</f>
      </c>
      <c r="Q129" s="14" t="str">
        <f>IF(J129="","",IF(J129&lt;&gt;"정상","비용 설정 필요",IFERROR(P129/F129,0)))</f>
      </c>
    </row>
    <row r="130">
      <c r="B130" s="7"/>
      <c r="C130" s="5"/>
      <c r="D130" s="5"/>
      <c r="E130" s="8"/>
      <c r="F130" s="8"/>
      <c r="G130" s="8"/>
      <c r="H130" s="8"/>
      <c r="I130" s="6"/>
      <c r="J130" s="10" t="str">
        <f>IF(AND(B130="",C130="",D130=""),"",IF(OR(B130="",D130=""),"비용 설정 필요",IF(COUNTIFS('3_채널별_비용설정'!$C$6:$C$55,D130,'3_채널별_비용설정'!$D$6:$D$55,"&lt;="&amp;B130,'3_채널별_비용설정'!$L$6:$L$55,"&gt;="&amp;B130)=0,"비용 설정 필요",IF(COUNTIFS('3_채널별_비용설정'!$C$6:$C$55,D130,'3_채널별_비용설정'!$D$6:$D$55,"&lt;="&amp;B130,'3_채널별_비용설정'!$L$6:$L$55,"&gt;="&amp;B130)&gt;1,"기간 중복 확인","정상"))))</f>
      </c>
      <c r="K130" s="15" t="str">
        <f>IF(J130="","",IF(J130&lt;&gt;"정상","비용 설정 필요",SUMIFS('3_채널별_비용설정'!$F$6:$F$55,'3_채널별_비용설정'!$C$6:$C$55,D130,'3_채널별_비용설정'!$D$6:$D$55,"&lt;="&amp;B130,'3_채널별_비용설정'!$L$6:$L$55,"&gt;="&amp;B130)))</f>
      </c>
      <c r="L130" s="12" t="str">
        <f>IF(J130="","",IF(J130&lt;&gt;"정상","비용 설정 필요",ROUND(F130*K130,0)))</f>
      </c>
      <c r="M130" s="12" t="str">
        <f>IF(J130="","",IF(J130&lt;&gt;"정상","비용 설정 필요",SUMIFS('3_채널별_비용설정'!$J$6:$J$55,'3_채널별_비용설정'!$C$6:$C$55,D130,'3_채널별_비용설정'!$D$6:$D$55,"&lt;="&amp;B130,'3_채널별_비용설정'!$L$6:$L$55,"&gt;="&amp;B130)))</f>
      </c>
      <c r="N130" s="12" t="str">
        <f>IF(J130="","",IF(J130&lt;&gt;"정상","비용 설정 필요",E130*M130))</f>
      </c>
      <c r="O130" s="12" t="str">
        <f>IF(J130="","",IF(J130&lt;&gt;"정상","비용 설정 필요",G130+L130+N130+H130))</f>
      </c>
      <c r="P130" s="13" t="str">
        <f>IF(J130="","",IF(J130&lt;&gt;"정상","비용 설정 필요",F130-O130))</f>
      </c>
      <c r="Q130" s="14" t="str">
        <f>IF(J130="","",IF(J130&lt;&gt;"정상","비용 설정 필요",IFERROR(P130/F130,0)))</f>
      </c>
    </row>
    <row r="131">
      <c r="B131" s="7"/>
      <c r="C131" s="5"/>
      <c r="D131" s="5"/>
      <c r="E131" s="8"/>
      <c r="F131" s="8"/>
      <c r="G131" s="8"/>
      <c r="H131" s="8"/>
      <c r="I131" s="6"/>
      <c r="J131" s="10" t="str">
        <f>IF(AND(B131="",C131="",D131=""),"",IF(OR(B131="",D131=""),"비용 설정 필요",IF(COUNTIFS('3_채널별_비용설정'!$C$6:$C$55,D131,'3_채널별_비용설정'!$D$6:$D$55,"&lt;="&amp;B131,'3_채널별_비용설정'!$L$6:$L$55,"&gt;="&amp;B131)=0,"비용 설정 필요",IF(COUNTIFS('3_채널별_비용설정'!$C$6:$C$55,D131,'3_채널별_비용설정'!$D$6:$D$55,"&lt;="&amp;B131,'3_채널별_비용설정'!$L$6:$L$55,"&gt;="&amp;B131)&gt;1,"기간 중복 확인","정상"))))</f>
      </c>
      <c r="K131" s="15" t="str">
        <f>IF(J131="","",IF(J131&lt;&gt;"정상","비용 설정 필요",SUMIFS('3_채널별_비용설정'!$F$6:$F$55,'3_채널별_비용설정'!$C$6:$C$55,D131,'3_채널별_비용설정'!$D$6:$D$55,"&lt;="&amp;B131,'3_채널별_비용설정'!$L$6:$L$55,"&gt;="&amp;B131)))</f>
      </c>
      <c r="L131" s="12" t="str">
        <f>IF(J131="","",IF(J131&lt;&gt;"정상","비용 설정 필요",ROUND(F131*K131,0)))</f>
      </c>
      <c r="M131" s="12" t="str">
        <f>IF(J131="","",IF(J131&lt;&gt;"정상","비용 설정 필요",SUMIFS('3_채널별_비용설정'!$J$6:$J$55,'3_채널별_비용설정'!$C$6:$C$55,D131,'3_채널별_비용설정'!$D$6:$D$55,"&lt;="&amp;B131,'3_채널별_비용설정'!$L$6:$L$55,"&gt;="&amp;B131)))</f>
      </c>
      <c r="N131" s="12" t="str">
        <f>IF(J131="","",IF(J131&lt;&gt;"정상","비용 설정 필요",E131*M131))</f>
      </c>
      <c r="O131" s="12" t="str">
        <f>IF(J131="","",IF(J131&lt;&gt;"정상","비용 설정 필요",G131+L131+N131+H131))</f>
      </c>
      <c r="P131" s="13" t="str">
        <f>IF(J131="","",IF(J131&lt;&gt;"정상","비용 설정 필요",F131-O131))</f>
      </c>
      <c r="Q131" s="14" t="str">
        <f>IF(J131="","",IF(J131&lt;&gt;"정상","비용 설정 필요",IFERROR(P131/F131,0)))</f>
      </c>
    </row>
    <row r="132">
      <c r="B132" s="7"/>
      <c r="C132" s="5"/>
      <c r="D132" s="5"/>
      <c r="E132" s="8"/>
      <c r="F132" s="8"/>
      <c r="G132" s="8"/>
      <c r="H132" s="8"/>
      <c r="I132" s="6"/>
      <c r="J132" s="10" t="str">
        <f>IF(AND(B132="",C132="",D132=""),"",IF(OR(B132="",D132=""),"비용 설정 필요",IF(COUNTIFS('3_채널별_비용설정'!$C$6:$C$55,D132,'3_채널별_비용설정'!$D$6:$D$55,"&lt;="&amp;B132,'3_채널별_비용설정'!$L$6:$L$55,"&gt;="&amp;B132)=0,"비용 설정 필요",IF(COUNTIFS('3_채널별_비용설정'!$C$6:$C$55,D132,'3_채널별_비용설정'!$D$6:$D$55,"&lt;="&amp;B132,'3_채널별_비용설정'!$L$6:$L$55,"&gt;="&amp;B132)&gt;1,"기간 중복 확인","정상"))))</f>
      </c>
      <c r="K132" s="15" t="str">
        <f>IF(J132="","",IF(J132&lt;&gt;"정상","비용 설정 필요",SUMIFS('3_채널별_비용설정'!$F$6:$F$55,'3_채널별_비용설정'!$C$6:$C$55,D132,'3_채널별_비용설정'!$D$6:$D$55,"&lt;="&amp;B132,'3_채널별_비용설정'!$L$6:$L$55,"&gt;="&amp;B132)))</f>
      </c>
      <c r="L132" s="12" t="str">
        <f>IF(J132="","",IF(J132&lt;&gt;"정상","비용 설정 필요",ROUND(F132*K132,0)))</f>
      </c>
      <c r="M132" s="12" t="str">
        <f>IF(J132="","",IF(J132&lt;&gt;"정상","비용 설정 필요",SUMIFS('3_채널별_비용설정'!$J$6:$J$55,'3_채널별_비용설정'!$C$6:$C$55,D132,'3_채널별_비용설정'!$D$6:$D$55,"&lt;="&amp;B132,'3_채널별_비용설정'!$L$6:$L$55,"&gt;="&amp;B132)))</f>
      </c>
      <c r="N132" s="12" t="str">
        <f>IF(J132="","",IF(J132&lt;&gt;"정상","비용 설정 필요",E132*M132))</f>
      </c>
      <c r="O132" s="12" t="str">
        <f>IF(J132="","",IF(J132&lt;&gt;"정상","비용 설정 필요",G132+L132+N132+H132))</f>
      </c>
      <c r="P132" s="13" t="str">
        <f>IF(J132="","",IF(J132&lt;&gt;"정상","비용 설정 필요",F132-O132))</f>
      </c>
      <c r="Q132" s="14" t="str">
        <f>IF(J132="","",IF(J132&lt;&gt;"정상","비용 설정 필요",IFERROR(P132/F132,0)))</f>
      </c>
    </row>
    <row r="133">
      <c r="B133" s="7"/>
      <c r="C133" s="5"/>
      <c r="D133" s="5"/>
      <c r="E133" s="8"/>
      <c r="F133" s="8"/>
      <c r="G133" s="8"/>
      <c r="H133" s="8"/>
      <c r="I133" s="6"/>
      <c r="J133" s="10" t="str">
        <f>IF(AND(B133="",C133="",D133=""),"",IF(OR(B133="",D133=""),"비용 설정 필요",IF(COUNTIFS('3_채널별_비용설정'!$C$6:$C$55,D133,'3_채널별_비용설정'!$D$6:$D$55,"&lt;="&amp;B133,'3_채널별_비용설정'!$L$6:$L$55,"&gt;="&amp;B133)=0,"비용 설정 필요",IF(COUNTIFS('3_채널별_비용설정'!$C$6:$C$55,D133,'3_채널별_비용설정'!$D$6:$D$55,"&lt;="&amp;B133,'3_채널별_비용설정'!$L$6:$L$55,"&gt;="&amp;B133)&gt;1,"기간 중복 확인","정상"))))</f>
      </c>
      <c r="K133" s="15" t="str">
        <f>IF(J133="","",IF(J133&lt;&gt;"정상","비용 설정 필요",SUMIFS('3_채널별_비용설정'!$F$6:$F$55,'3_채널별_비용설정'!$C$6:$C$55,D133,'3_채널별_비용설정'!$D$6:$D$55,"&lt;="&amp;B133,'3_채널별_비용설정'!$L$6:$L$55,"&gt;="&amp;B133)))</f>
      </c>
      <c r="L133" s="12" t="str">
        <f>IF(J133="","",IF(J133&lt;&gt;"정상","비용 설정 필요",ROUND(F133*K133,0)))</f>
      </c>
      <c r="M133" s="12" t="str">
        <f>IF(J133="","",IF(J133&lt;&gt;"정상","비용 설정 필요",SUMIFS('3_채널별_비용설정'!$J$6:$J$55,'3_채널별_비용설정'!$C$6:$C$55,D133,'3_채널별_비용설정'!$D$6:$D$55,"&lt;="&amp;B133,'3_채널별_비용설정'!$L$6:$L$55,"&gt;="&amp;B133)))</f>
      </c>
      <c r="N133" s="12" t="str">
        <f>IF(J133="","",IF(J133&lt;&gt;"정상","비용 설정 필요",E133*M133))</f>
      </c>
      <c r="O133" s="12" t="str">
        <f>IF(J133="","",IF(J133&lt;&gt;"정상","비용 설정 필요",G133+L133+N133+H133))</f>
      </c>
      <c r="P133" s="13" t="str">
        <f>IF(J133="","",IF(J133&lt;&gt;"정상","비용 설정 필요",F133-O133))</f>
      </c>
      <c r="Q133" s="14" t="str">
        <f>IF(J133="","",IF(J133&lt;&gt;"정상","비용 설정 필요",IFERROR(P133/F133,0)))</f>
      </c>
    </row>
    <row r="134">
      <c r="B134" s="7"/>
      <c r="C134" s="5"/>
      <c r="D134" s="5"/>
      <c r="E134" s="8"/>
      <c r="F134" s="8"/>
      <c r="G134" s="8"/>
      <c r="H134" s="8"/>
      <c r="I134" s="6"/>
      <c r="J134" s="10" t="str">
        <f>IF(AND(B134="",C134="",D134=""),"",IF(OR(B134="",D134=""),"비용 설정 필요",IF(COUNTIFS('3_채널별_비용설정'!$C$6:$C$55,D134,'3_채널별_비용설정'!$D$6:$D$55,"&lt;="&amp;B134,'3_채널별_비용설정'!$L$6:$L$55,"&gt;="&amp;B134)=0,"비용 설정 필요",IF(COUNTIFS('3_채널별_비용설정'!$C$6:$C$55,D134,'3_채널별_비용설정'!$D$6:$D$55,"&lt;="&amp;B134,'3_채널별_비용설정'!$L$6:$L$55,"&gt;="&amp;B134)&gt;1,"기간 중복 확인","정상"))))</f>
      </c>
      <c r="K134" s="15" t="str">
        <f>IF(J134="","",IF(J134&lt;&gt;"정상","비용 설정 필요",SUMIFS('3_채널별_비용설정'!$F$6:$F$55,'3_채널별_비용설정'!$C$6:$C$55,D134,'3_채널별_비용설정'!$D$6:$D$55,"&lt;="&amp;B134,'3_채널별_비용설정'!$L$6:$L$55,"&gt;="&amp;B134)))</f>
      </c>
      <c r="L134" s="12" t="str">
        <f>IF(J134="","",IF(J134&lt;&gt;"정상","비용 설정 필요",ROUND(F134*K134,0)))</f>
      </c>
      <c r="M134" s="12" t="str">
        <f>IF(J134="","",IF(J134&lt;&gt;"정상","비용 설정 필요",SUMIFS('3_채널별_비용설정'!$J$6:$J$55,'3_채널별_비용설정'!$C$6:$C$55,D134,'3_채널별_비용설정'!$D$6:$D$55,"&lt;="&amp;B134,'3_채널별_비용설정'!$L$6:$L$55,"&gt;="&amp;B134)))</f>
      </c>
      <c r="N134" s="12" t="str">
        <f>IF(J134="","",IF(J134&lt;&gt;"정상","비용 설정 필요",E134*M134))</f>
      </c>
      <c r="O134" s="12" t="str">
        <f>IF(J134="","",IF(J134&lt;&gt;"정상","비용 설정 필요",G134+L134+N134+H134))</f>
      </c>
      <c r="P134" s="13" t="str">
        <f>IF(J134="","",IF(J134&lt;&gt;"정상","비용 설정 필요",F134-O134))</f>
      </c>
      <c r="Q134" s="14" t="str">
        <f>IF(J134="","",IF(J134&lt;&gt;"정상","비용 설정 필요",IFERROR(P134/F134,0)))</f>
      </c>
    </row>
    <row r="135">
      <c r="B135" s="7"/>
      <c r="C135" s="5"/>
      <c r="D135" s="5"/>
      <c r="E135" s="8"/>
      <c r="F135" s="8"/>
      <c r="G135" s="8"/>
      <c r="H135" s="8"/>
      <c r="I135" s="6"/>
      <c r="J135" s="10" t="str">
        <f>IF(AND(B135="",C135="",D135=""),"",IF(OR(B135="",D135=""),"비용 설정 필요",IF(COUNTIFS('3_채널별_비용설정'!$C$6:$C$55,D135,'3_채널별_비용설정'!$D$6:$D$55,"&lt;="&amp;B135,'3_채널별_비용설정'!$L$6:$L$55,"&gt;="&amp;B135)=0,"비용 설정 필요",IF(COUNTIFS('3_채널별_비용설정'!$C$6:$C$55,D135,'3_채널별_비용설정'!$D$6:$D$55,"&lt;="&amp;B135,'3_채널별_비용설정'!$L$6:$L$55,"&gt;="&amp;B135)&gt;1,"기간 중복 확인","정상"))))</f>
      </c>
      <c r="K135" s="15" t="str">
        <f>IF(J135="","",IF(J135&lt;&gt;"정상","비용 설정 필요",SUMIFS('3_채널별_비용설정'!$F$6:$F$55,'3_채널별_비용설정'!$C$6:$C$55,D135,'3_채널별_비용설정'!$D$6:$D$55,"&lt;="&amp;B135,'3_채널별_비용설정'!$L$6:$L$55,"&gt;="&amp;B135)))</f>
      </c>
      <c r="L135" s="12" t="str">
        <f>IF(J135="","",IF(J135&lt;&gt;"정상","비용 설정 필요",ROUND(F135*K135,0)))</f>
      </c>
      <c r="M135" s="12" t="str">
        <f>IF(J135="","",IF(J135&lt;&gt;"정상","비용 설정 필요",SUMIFS('3_채널별_비용설정'!$J$6:$J$55,'3_채널별_비용설정'!$C$6:$C$55,D135,'3_채널별_비용설정'!$D$6:$D$55,"&lt;="&amp;B135,'3_채널별_비용설정'!$L$6:$L$55,"&gt;="&amp;B135)))</f>
      </c>
      <c r="N135" s="12" t="str">
        <f>IF(J135="","",IF(J135&lt;&gt;"정상","비용 설정 필요",E135*M135))</f>
      </c>
      <c r="O135" s="12" t="str">
        <f>IF(J135="","",IF(J135&lt;&gt;"정상","비용 설정 필요",G135+L135+N135+H135))</f>
      </c>
      <c r="P135" s="13" t="str">
        <f>IF(J135="","",IF(J135&lt;&gt;"정상","비용 설정 필요",F135-O135))</f>
      </c>
      <c r="Q135" s="14" t="str">
        <f>IF(J135="","",IF(J135&lt;&gt;"정상","비용 설정 필요",IFERROR(P135/F135,0)))</f>
      </c>
    </row>
    <row r="136">
      <c r="B136" s="7"/>
      <c r="C136" s="5"/>
      <c r="D136" s="5"/>
      <c r="E136" s="8"/>
      <c r="F136" s="8"/>
      <c r="G136" s="8"/>
      <c r="H136" s="8"/>
      <c r="I136" s="6"/>
      <c r="J136" s="10" t="str">
        <f>IF(AND(B136="",C136="",D136=""),"",IF(OR(B136="",D136=""),"비용 설정 필요",IF(COUNTIFS('3_채널별_비용설정'!$C$6:$C$55,D136,'3_채널별_비용설정'!$D$6:$D$55,"&lt;="&amp;B136,'3_채널별_비용설정'!$L$6:$L$55,"&gt;="&amp;B136)=0,"비용 설정 필요",IF(COUNTIFS('3_채널별_비용설정'!$C$6:$C$55,D136,'3_채널별_비용설정'!$D$6:$D$55,"&lt;="&amp;B136,'3_채널별_비용설정'!$L$6:$L$55,"&gt;="&amp;B136)&gt;1,"기간 중복 확인","정상"))))</f>
      </c>
      <c r="K136" s="15" t="str">
        <f>IF(J136="","",IF(J136&lt;&gt;"정상","비용 설정 필요",SUMIFS('3_채널별_비용설정'!$F$6:$F$55,'3_채널별_비용설정'!$C$6:$C$55,D136,'3_채널별_비용설정'!$D$6:$D$55,"&lt;="&amp;B136,'3_채널별_비용설정'!$L$6:$L$55,"&gt;="&amp;B136)))</f>
      </c>
      <c r="L136" s="12" t="str">
        <f>IF(J136="","",IF(J136&lt;&gt;"정상","비용 설정 필요",ROUND(F136*K136,0)))</f>
      </c>
      <c r="M136" s="12" t="str">
        <f>IF(J136="","",IF(J136&lt;&gt;"정상","비용 설정 필요",SUMIFS('3_채널별_비용설정'!$J$6:$J$55,'3_채널별_비용설정'!$C$6:$C$55,D136,'3_채널별_비용설정'!$D$6:$D$55,"&lt;="&amp;B136,'3_채널별_비용설정'!$L$6:$L$55,"&gt;="&amp;B136)))</f>
      </c>
      <c r="N136" s="12" t="str">
        <f>IF(J136="","",IF(J136&lt;&gt;"정상","비용 설정 필요",E136*M136))</f>
      </c>
      <c r="O136" s="12" t="str">
        <f>IF(J136="","",IF(J136&lt;&gt;"정상","비용 설정 필요",G136+L136+N136+H136))</f>
      </c>
      <c r="P136" s="13" t="str">
        <f>IF(J136="","",IF(J136&lt;&gt;"정상","비용 설정 필요",F136-O136))</f>
      </c>
      <c r="Q136" s="14" t="str">
        <f>IF(J136="","",IF(J136&lt;&gt;"정상","비용 설정 필요",IFERROR(P136/F136,0)))</f>
      </c>
    </row>
    <row r="137">
      <c r="B137" s="7"/>
      <c r="C137" s="5"/>
      <c r="D137" s="5"/>
      <c r="E137" s="8"/>
      <c r="F137" s="8"/>
      <c r="G137" s="8"/>
      <c r="H137" s="8"/>
      <c r="I137" s="6"/>
      <c r="J137" s="10" t="str">
        <f>IF(AND(B137="",C137="",D137=""),"",IF(OR(B137="",D137=""),"비용 설정 필요",IF(COUNTIFS('3_채널별_비용설정'!$C$6:$C$55,D137,'3_채널별_비용설정'!$D$6:$D$55,"&lt;="&amp;B137,'3_채널별_비용설정'!$L$6:$L$55,"&gt;="&amp;B137)=0,"비용 설정 필요",IF(COUNTIFS('3_채널별_비용설정'!$C$6:$C$55,D137,'3_채널별_비용설정'!$D$6:$D$55,"&lt;="&amp;B137,'3_채널별_비용설정'!$L$6:$L$55,"&gt;="&amp;B137)&gt;1,"기간 중복 확인","정상"))))</f>
      </c>
      <c r="K137" s="15" t="str">
        <f>IF(J137="","",IF(J137&lt;&gt;"정상","비용 설정 필요",SUMIFS('3_채널별_비용설정'!$F$6:$F$55,'3_채널별_비용설정'!$C$6:$C$55,D137,'3_채널별_비용설정'!$D$6:$D$55,"&lt;="&amp;B137,'3_채널별_비용설정'!$L$6:$L$55,"&gt;="&amp;B137)))</f>
      </c>
      <c r="L137" s="12" t="str">
        <f>IF(J137="","",IF(J137&lt;&gt;"정상","비용 설정 필요",ROUND(F137*K137,0)))</f>
      </c>
      <c r="M137" s="12" t="str">
        <f>IF(J137="","",IF(J137&lt;&gt;"정상","비용 설정 필요",SUMIFS('3_채널별_비용설정'!$J$6:$J$55,'3_채널별_비용설정'!$C$6:$C$55,D137,'3_채널별_비용설정'!$D$6:$D$55,"&lt;="&amp;B137,'3_채널별_비용설정'!$L$6:$L$55,"&gt;="&amp;B137)))</f>
      </c>
      <c r="N137" s="12" t="str">
        <f>IF(J137="","",IF(J137&lt;&gt;"정상","비용 설정 필요",E137*M137))</f>
      </c>
      <c r="O137" s="12" t="str">
        <f>IF(J137="","",IF(J137&lt;&gt;"정상","비용 설정 필요",G137+L137+N137+H137))</f>
      </c>
      <c r="P137" s="13" t="str">
        <f>IF(J137="","",IF(J137&lt;&gt;"정상","비용 설정 필요",F137-O137))</f>
      </c>
      <c r="Q137" s="14" t="str">
        <f>IF(J137="","",IF(J137&lt;&gt;"정상","비용 설정 필요",IFERROR(P137/F137,0)))</f>
      </c>
    </row>
    <row r="138">
      <c r="B138" s="7"/>
      <c r="C138" s="5"/>
      <c r="D138" s="5"/>
      <c r="E138" s="8"/>
      <c r="F138" s="8"/>
      <c r="G138" s="8"/>
      <c r="H138" s="8"/>
      <c r="I138" s="6"/>
      <c r="J138" s="10" t="str">
        <f>IF(AND(B138="",C138="",D138=""),"",IF(OR(B138="",D138=""),"비용 설정 필요",IF(COUNTIFS('3_채널별_비용설정'!$C$6:$C$55,D138,'3_채널별_비용설정'!$D$6:$D$55,"&lt;="&amp;B138,'3_채널별_비용설정'!$L$6:$L$55,"&gt;="&amp;B138)=0,"비용 설정 필요",IF(COUNTIFS('3_채널별_비용설정'!$C$6:$C$55,D138,'3_채널별_비용설정'!$D$6:$D$55,"&lt;="&amp;B138,'3_채널별_비용설정'!$L$6:$L$55,"&gt;="&amp;B138)&gt;1,"기간 중복 확인","정상"))))</f>
      </c>
      <c r="K138" s="15" t="str">
        <f>IF(J138="","",IF(J138&lt;&gt;"정상","비용 설정 필요",SUMIFS('3_채널별_비용설정'!$F$6:$F$55,'3_채널별_비용설정'!$C$6:$C$55,D138,'3_채널별_비용설정'!$D$6:$D$55,"&lt;="&amp;B138,'3_채널별_비용설정'!$L$6:$L$55,"&gt;="&amp;B138)))</f>
      </c>
      <c r="L138" s="12" t="str">
        <f>IF(J138="","",IF(J138&lt;&gt;"정상","비용 설정 필요",ROUND(F138*K138,0)))</f>
      </c>
      <c r="M138" s="12" t="str">
        <f>IF(J138="","",IF(J138&lt;&gt;"정상","비용 설정 필요",SUMIFS('3_채널별_비용설정'!$J$6:$J$55,'3_채널별_비용설정'!$C$6:$C$55,D138,'3_채널별_비용설정'!$D$6:$D$55,"&lt;="&amp;B138,'3_채널별_비용설정'!$L$6:$L$55,"&gt;="&amp;B138)))</f>
      </c>
      <c r="N138" s="12" t="str">
        <f>IF(J138="","",IF(J138&lt;&gt;"정상","비용 설정 필요",E138*M138))</f>
      </c>
      <c r="O138" s="12" t="str">
        <f>IF(J138="","",IF(J138&lt;&gt;"정상","비용 설정 필요",G138+L138+N138+H138))</f>
      </c>
      <c r="P138" s="13" t="str">
        <f>IF(J138="","",IF(J138&lt;&gt;"정상","비용 설정 필요",F138-O138))</f>
      </c>
      <c r="Q138" s="14" t="str">
        <f>IF(J138="","",IF(J138&lt;&gt;"정상","비용 설정 필요",IFERROR(P138/F138,0)))</f>
      </c>
    </row>
    <row r="139">
      <c r="B139" s="7"/>
      <c r="C139" s="5"/>
      <c r="D139" s="5"/>
      <c r="E139" s="8"/>
      <c r="F139" s="8"/>
      <c r="G139" s="8"/>
      <c r="H139" s="8"/>
      <c r="I139" s="6"/>
      <c r="J139" s="10" t="str">
        <f>IF(AND(B139="",C139="",D139=""),"",IF(OR(B139="",D139=""),"비용 설정 필요",IF(COUNTIFS('3_채널별_비용설정'!$C$6:$C$55,D139,'3_채널별_비용설정'!$D$6:$D$55,"&lt;="&amp;B139,'3_채널별_비용설정'!$L$6:$L$55,"&gt;="&amp;B139)=0,"비용 설정 필요",IF(COUNTIFS('3_채널별_비용설정'!$C$6:$C$55,D139,'3_채널별_비용설정'!$D$6:$D$55,"&lt;="&amp;B139,'3_채널별_비용설정'!$L$6:$L$55,"&gt;="&amp;B139)&gt;1,"기간 중복 확인","정상"))))</f>
      </c>
      <c r="K139" s="15" t="str">
        <f>IF(J139="","",IF(J139&lt;&gt;"정상","비용 설정 필요",SUMIFS('3_채널별_비용설정'!$F$6:$F$55,'3_채널별_비용설정'!$C$6:$C$55,D139,'3_채널별_비용설정'!$D$6:$D$55,"&lt;="&amp;B139,'3_채널별_비용설정'!$L$6:$L$55,"&gt;="&amp;B139)))</f>
      </c>
      <c r="L139" s="12" t="str">
        <f>IF(J139="","",IF(J139&lt;&gt;"정상","비용 설정 필요",ROUND(F139*K139,0)))</f>
      </c>
      <c r="M139" s="12" t="str">
        <f>IF(J139="","",IF(J139&lt;&gt;"정상","비용 설정 필요",SUMIFS('3_채널별_비용설정'!$J$6:$J$55,'3_채널별_비용설정'!$C$6:$C$55,D139,'3_채널별_비용설정'!$D$6:$D$55,"&lt;="&amp;B139,'3_채널별_비용설정'!$L$6:$L$55,"&gt;="&amp;B139)))</f>
      </c>
      <c r="N139" s="12" t="str">
        <f>IF(J139="","",IF(J139&lt;&gt;"정상","비용 설정 필요",E139*M139))</f>
      </c>
      <c r="O139" s="12" t="str">
        <f>IF(J139="","",IF(J139&lt;&gt;"정상","비용 설정 필요",G139+L139+N139+H139))</f>
      </c>
      <c r="P139" s="13" t="str">
        <f>IF(J139="","",IF(J139&lt;&gt;"정상","비용 설정 필요",F139-O139))</f>
      </c>
      <c r="Q139" s="14" t="str">
        <f>IF(J139="","",IF(J139&lt;&gt;"정상","비용 설정 필요",IFERROR(P139/F139,0)))</f>
      </c>
    </row>
    <row r="140">
      <c r="B140" s="7"/>
      <c r="C140" s="5"/>
      <c r="D140" s="5"/>
      <c r="E140" s="8"/>
      <c r="F140" s="8"/>
      <c r="G140" s="8"/>
      <c r="H140" s="8"/>
      <c r="I140" s="6"/>
      <c r="J140" s="10" t="str">
        <f>IF(AND(B140="",C140="",D140=""),"",IF(OR(B140="",D140=""),"비용 설정 필요",IF(COUNTIFS('3_채널별_비용설정'!$C$6:$C$55,D140,'3_채널별_비용설정'!$D$6:$D$55,"&lt;="&amp;B140,'3_채널별_비용설정'!$L$6:$L$55,"&gt;="&amp;B140)=0,"비용 설정 필요",IF(COUNTIFS('3_채널별_비용설정'!$C$6:$C$55,D140,'3_채널별_비용설정'!$D$6:$D$55,"&lt;="&amp;B140,'3_채널별_비용설정'!$L$6:$L$55,"&gt;="&amp;B140)&gt;1,"기간 중복 확인","정상"))))</f>
      </c>
      <c r="K140" s="15" t="str">
        <f>IF(J140="","",IF(J140&lt;&gt;"정상","비용 설정 필요",SUMIFS('3_채널별_비용설정'!$F$6:$F$55,'3_채널별_비용설정'!$C$6:$C$55,D140,'3_채널별_비용설정'!$D$6:$D$55,"&lt;="&amp;B140,'3_채널별_비용설정'!$L$6:$L$55,"&gt;="&amp;B140)))</f>
      </c>
      <c r="L140" s="12" t="str">
        <f>IF(J140="","",IF(J140&lt;&gt;"정상","비용 설정 필요",ROUND(F140*K140,0)))</f>
      </c>
      <c r="M140" s="12" t="str">
        <f>IF(J140="","",IF(J140&lt;&gt;"정상","비용 설정 필요",SUMIFS('3_채널별_비용설정'!$J$6:$J$55,'3_채널별_비용설정'!$C$6:$C$55,D140,'3_채널별_비용설정'!$D$6:$D$55,"&lt;="&amp;B140,'3_채널별_비용설정'!$L$6:$L$55,"&gt;="&amp;B140)))</f>
      </c>
      <c r="N140" s="12" t="str">
        <f>IF(J140="","",IF(J140&lt;&gt;"정상","비용 설정 필요",E140*M140))</f>
      </c>
      <c r="O140" s="12" t="str">
        <f>IF(J140="","",IF(J140&lt;&gt;"정상","비용 설정 필요",G140+L140+N140+H140))</f>
      </c>
      <c r="P140" s="13" t="str">
        <f>IF(J140="","",IF(J140&lt;&gt;"정상","비용 설정 필요",F140-O140))</f>
      </c>
      <c r="Q140" s="14" t="str">
        <f>IF(J140="","",IF(J140&lt;&gt;"정상","비용 설정 필요",IFERROR(P140/F140,0)))</f>
      </c>
    </row>
    <row r="141">
      <c r="B141" s="7"/>
      <c r="C141" s="5"/>
      <c r="D141" s="5"/>
      <c r="E141" s="8"/>
      <c r="F141" s="8"/>
      <c r="G141" s="8"/>
      <c r="H141" s="8"/>
      <c r="I141" s="6"/>
      <c r="J141" s="10" t="str">
        <f>IF(AND(B141="",C141="",D141=""),"",IF(OR(B141="",D141=""),"비용 설정 필요",IF(COUNTIFS('3_채널별_비용설정'!$C$6:$C$55,D141,'3_채널별_비용설정'!$D$6:$D$55,"&lt;="&amp;B141,'3_채널별_비용설정'!$L$6:$L$55,"&gt;="&amp;B141)=0,"비용 설정 필요",IF(COUNTIFS('3_채널별_비용설정'!$C$6:$C$55,D141,'3_채널별_비용설정'!$D$6:$D$55,"&lt;="&amp;B141,'3_채널별_비용설정'!$L$6:$L$55,"&gt;="&amp;B141)&gt;1,"기간 중복 확인","정상"))))</f>
      </c>
      <c r="K141" s="15" t="str">
        <f>IF(J141="","",IF(J141&lt;&gt;"정상","비용 설정 필요",SUMIFS('3_채널별_비용설정'!$F$6:$F$55,'3_채널별_비용설정'!$C$6:$C$55,D141,'3_채널별_비용설정'!$D$6:$D$55,"&lt;="&amp;B141,'3_채널별_비용설정'!$L$6:$L$55,"&gt;="&amp;B141)))</f>
      </c>
      <c r="L141" s="12" t="str">
        <f>IF(J141="","",IF(J141&lt;&gt;"정상","비용 설정 필요",ROUND(F141*K141,0)))</f>
      </c>
      <c r="M141" s="12" t="str">
        <f>IF(J141="","",IF(J141&lt;&gt;"정상","비용 설정 필요",SUMIFS('3_채널별_비용설정'!$J$6:$J$55,'3_채널별_비용설정'!$C$6:$C$55,D141,'3_채널별_비용설정'!$D$6:$D$55,"&lt;="&amp;B141,'3_채널별_비용설정'!$L$6:$L$55,"&gt;="&amp;B141)))</f>
      </c>
      <c r="N141" s="12" t="str">
        <f>IF(J141="","",IF(J141&lt;&gt;"정상","비용 설정 필요",E141*M141))</f>
      </c>
      <c r="O141" s="12" t="str">
        <f>IF(J141="","",IF(J141&lt;&gt;"정상","비용 설정 필요",G141+L141+N141+H141))</f>
      </c>
      <c r="P141" s="13" t="str">
        <f>IF(J141="","",IF(J141&lt;&gt;"정상","비용 설정 필요",F141-O141))</f>
      </c>
      <c r="Q141" s="14" t="str">
        <f>IF(J141="","",IF(J141&lt;&gt;"정상","비용 설정 필요",IFERROR(P141/F141,0)))</f>
      </c>
    </row>
    <row r="142">
      <c r="B142" s="7"/>
      <c r="C142" s="5"/>
      <c r="D142" s="5"/>
      <c r="E142" s="8"/>
      <c r="F142" s="8"/>
      <c r="G142" s="8"/>
      <c r="H142" s="8"/>
      <c r="I142" s="6"/>
      <c r="J142" s="10" t="str">
        <f>IF(AND(B142="",C142="",D142=""),"",IF(OR(B142="",D142=""),"비용 설정 필요",IF(COUNTIFS('3_채널별_비용설정'!$C$6:$C$55,D142,'3_채널별_비용설정'!$D$6:$D$55,"&lt;="&amp;B142,'3_채널별_비용설정'!$L$6:$L$55,"&gt;="&amp;B142)=0,"비용 설정 필요",IF(COUNTIFS('3_채널별_비용설정'!$C$6:$C$55,D142,'3_채널별_비용설정'!$D$6:$D$55,"&lt;="&amp;B142,'3_채널별_비용설정'!$L$6:$L$55,"&gt;="&amp;B142)&gt;1,"기간 중복 확인","정상"))))</f>
      </c>
      <c r="K142" s="15" t="str">
        <f>IF(J142="","",IF(J142&lt;&gt;"정상","비용 설정 필요",SUMIFS('3_채널별_비용설정'!$F$6:$F$55,'3_채널별_비용설정'!$C$6:$C$55,D142,'3_채널별_비용설정'!$D$6:$D$55,"&lt;="&amp;B142,'3_채널별_비용설정'!$L$6:$L$55,"&gt;="&amp;B142)))</f>
      </c>
      <c r="L142" s="12" t="str">
        <f>IF(J142="","",IF(J142&lt;&gt;"정상","비용 설정 필요",ROUND(F142*K142,0)))</f>
      </c>
      <c r="M142" s="12" t="str">
        <f>IF(J142="","",IF(J142&lt;&gt;"정상","비용 설정 필요",SUMIFS('3_채널별_비용설정'!$J$6:$J$55,'3_채널별_비용설정'!$C$6:$C$55,D142,'3_채널별_비용설정'!$D$6:$D$55,"&lt;="&amp;B142,'3_채널별_비용설정'!$L$6:$L$55,"&gt;="&amp;B142)))</f>
      </c>
      <c r="N142" s="12" t="str">
        <f>IF(J142="","",IF(J142&lt;&gt;"정상","비용 설정 필요",E142*M142))</f>
      </c>
      <c r="O142" s="12" t="str">
        <f>IF(J142="","",IF(J142&lt;&gt;"정상","비용 설정 필요",G142+L142+N142+H142))</f>
      </c>
      <c r="P142" s="13" t="str">
        <f>IF(J142="","",IF(J142&lt;&gt;"정상","비용 설정 필요",F142-O142))</f>
      </c>
      <c r="Q142" s="14" t="str">
        <f>IF(J142="","",IF(J142&lt;&gt;"정상","비용 설정 필요",IFERROR(P142/F142,0)))</f>
      </c>
    </row>
    <row r="143">
      <c r="B143" s="7"/>
      <c r="C143" s="5"/>
      <c r="D143" s="5"/>
      <c r="E143" s="8"/>
      <c r="F143" s="8"/>
      <c r="G143" s="8"/>
      <c r="H143" s="8"/>
      <c r="I143" s="6"/>
      <c r="J143" s="10" t="str">
        <f>IF(AND(B143="",C143="",D143=""),"",IF(OR(B143="",D143=""),"비용 설정 필요",IF(COUNTIFS('3_채널별_비용설정'!$C$6:$C$55,D143,'3_채널별_비용설정'!$D$6:$D$55,"&lt;="&amp;B143,'3_채널별_비용설정'!$L$6:$L$55,"&gt;="&amp;B143)=0,"비용 설정 필요",IF(COUNTIFS('3_채널별_비용설정'!$C$6:$C$55,D143,'3_채널별_비용설정'!$D$6:$D$55,"&lt;="&amp;B143,'3_채널별_비용설정'!$L$6:$L$55,"&gt;="&amp;B143)&gt;1,"기간 중복 확인","정상"))))</f>
      </c>
      <c r="K143" s="15" t="str">
        <f>IF(J143="","",IF(J143&lt;&gt;"정상","비용 설정 필요",SUMIFS('3_채널별_비용설정'!$F$6:$F$55,'3_채널별_비용설정'!$C$6:$C$55,D143,'3_채널별_비용설정'!$D$6:$D$55,"&lt;="&amp;B143,'3_채널별_비용설정'!$L$6:$L$55,"&gt;="&amp;B143)))</f>
      </c>
      <c r="L143" s="12" t="str">
        <f>IF(J143="","",IF(J143&lt;&gt;"정상","비용 설정 필요",ROUND(F143*K143,0)))</f>
      </c>
      <c r="M143" s="12" t="str">
        <f>IF(J143="","",IF(J143&lt;&gt;"정상","비용 설정 필요",SUMIFS('3_채널별_비용설정'!$J$6:$J$55,'3_채널별_비용설정'!$C$6:$C$55,D143,'3_채널별_비용설정'!$D$6:$D$55,"&lt;="&amp;B143,'3_채널별_비용설정'!$L$6:$L$55,"&gt;="&amp;B143)))</f>
      </c>
      <c r="N143" s="12" t="str">
        <f>IF(J143="","",IF(J143&lt;&gt;"정상","비용 설정 필요",E143*M143))</f>
      </c>
      <c r="O143" s="12" t="str">
        <f>IF(J143="","",IF(J143&lt;&gt;"정상","비용 설정 필요",G143+L143+N143+H143))</f>
      </c>
      <c r="P143" s="13" t="str">
        <f>IF(J143="","",IF(J143&lt;&gt;"정상","비용 설정 필요",F143-O143))</f>
      </c>
      <c r="Q143" s="14" t="str">
        <f>IF(J143="","",IF(J143&lt;&gt;"정상","비용 설정 필요",IFERROR(P143/F143,0)))</f>
      </c>
    </row>
    <row r="144">
      <c r="B144" s="7"/>
      <c r="C144" s="5"/>
      <c r="D144" s="5"/>
      <c r="E144" s="8"/>
      <c r="F144" s="8"/>
      <c r="G144" s="8"/>
      <c r="H144" s="8"/>
      <c r="I144" s="6"/>
      <c r="J144" s="10" t="str">
        <f>IF(AND(B144="",C144="",D144=""),"",IF(OR(B144="",D144=""),"비용 설정 필요",IF(COUNTIFS('3_채널별_비용설정'!$C$6:$C$55,D144,'3_채널별_비용설정'!$D$6:$D$55,"&lt;="&amp;B144,'3_채널별_비용설정'!$L$6:$L$55,"&gt;="&amp;B144)=0,"비용 설정 필요",IF(COUNTIFS('3_채널별_비용설정'!$C$6:$C$55,D144,'3_채널별_비용설정'!$D$6:$D$55,"&lt;="&amp;B144,'3_채널별_비용설정'!$L$6:$L$55,"&gt;="&amp;B144)&gt;1,"기간 중복 확인","정상"))))</f>
      </c>
      <c r="K144" s="15" t="str">
        <f>IF(J144="","",IF(J144&lt;&gt;"정상","비용 설정 필요",SUMIFS('3_채널별_비용설정'!$F$6:$F$55,'3_채널별_비용설정'!$C$6:$C$55,D144,'3_채널별_비용설정'!$D$6:$D$55,"&lt;="&amp;B144,'3_채널별_비용설정'!$L$6:$L$55,"&gt;="&amp;B144)))</f>
      </c>
      <c r="L144" s="12" t="str">
        <f>IF(J144="","",IF(J144&lt;&gt;"정상","비용 설정 필요",ROUND(F144*K144,0)))</f>
      </c>
      <c r="M144" s="12" t="str">
        <f>IF(J144="","",IF(J144&lt;&gt;"정상","비용 설정 필요",SUMIFS('3_채널별_비용설정'!$J$6:$J$55,'3_채널별_비용설정'!$C$6:$C$55,D144,'3_채널별_비용설정'!$D$6:$D$55,"&lt;="&amp;B144,'3_채널별_비용설정'!$L$6:$L$55,"&gt;="&amp;B144)))</f>
      </c>
      <c r="N144" s="12" t="str">
        <f>IF(J144="","",IF(J144&lt;&gt;"정상","비용 설정 필요",E144*M144))</f>
      </c>
      <c r="O144" s="12" t="str">
        <f>IF(J144="","",IF(J144&lt;&gt;"정상","비용 설정 필요",G144+L144+N144+H144))</f>
      </c>
      <c r="P144" s="13" t="str">
        <f>IF(J144="","",IF(J144&lt;&gt;"정상","비용 설정 필요",F144-O144))</f>
      </c>
      <c r="Q144" s="14" t="str">
        <f>IF(J144="","",IF(J144&lt;&gt;"정상","비용 설정 필요",IFERROR(P144/F144,0)))</f>
      </c>
    </row>
    <row r="145">
      <c r="B145" s="7"/>
      <c r="C145" s="5"/>
      <c r="D145" s="5"/>
      <c r="E145" s="8"/>
      <c r="F145" s="8"/>
      <c r="G145" s="8"/>
      <c r="H145" s="8"/>
      <c r="I145" s="6"/>
      <c r="J145" s="10" t="str">
        <f>IF(AND(B145="",C145="",D145=""),"",IF(OR(B145="",D145=""),"비용 설정 필요",IF(COUNTIFS('3_채널별_비용설정'!$C$6:$C$55,D145,'3_채널별_비용설정'!$D$6:$D$55,"&lt;="&amp;B145,'3_채널별_비용설정'!$L$6:$L$55,"&gt;="&amp;B145)=0,"비용 설정 필요",IF(COUNTIFS('3_채널별_비용설정'!$C$6:$C$55,D145,'3_채널별_비용설정'!$D$6:$D$55,"&lt;="&amp;B145,'3_채널별_비용설정'!$L$6:$L$55,"&gt;="&amp;B145)&gt;1,"기간 중복 확인","정상"))))</f>
      </c>
      <c r="K145" s="15" t="str">
        <f>IF(J145="","",IF(J145&lt;&gt;"정상","비용 설정 필요",SUMIFS('3_채널별_비용설정'!$F$6:$F$55,'3_채널별_비용설정'!$C$6:$C$55,D145,'3_채널별_비용설정'!$D$6:$D$55,"&lt;="&amp;B145,'3_채널별_비용설정'!$L$6:$L$55,"&gt;="&amp;B145)))</f>
      </c>
      <c r="L145" s="12" t="str">
        <f>IF(J145="","",IF(J145&lt;&gt;"정상","비용 설정 필요",ROUND(F145*K145,0)))</f>
      </c>
      <c r="M145" s="12" t="str">
        <f>IF(J145="","",IF(J145&lt;&gt;"정상","비용 설정 필요",SUMIFS('3_채널별_비용설정'!$J$6:$J$55,'3_채널별_비용설정'!$C$6:$C$55,D145,'3_채널별_비용설정'!$D$6:$D$55,"&lt;="&amp;B145,'3_채널별_비용설정'!$L$6:$L$55,"&gt;="&amp;B145)))</f>
      </c>
      <c r="N145" s="12" t="str">
        <f>IF(J145="","",IF(J145&lt;&gt;"정상","비용 설정 필요",E145*M145))</f>
      </c>
      <c r="O145" s="12" t="str">
        <f>IF(J145="","",IF(J145&lt;&gt;"정상","비용 설정 필요",G145+L145+N145+H145))</f>
      </c>
      <c r="P145" s="13" t="str">
        <f>IF(J145="","",IF(J145&lt;&gt;"정상","비용 설정 필요",F145-O145))</f>
      </c>
      <c r="Q145" s="14" t="str">
        <f>IF(J145="","",IF(J145&lt;&gt;"정상","비용 설정 필요",IFERROR(P145/F145,0)))</f>
      </c>
    </row>
    <row r="146">
      <c r="B146" s="7"/>
      <c r="C146" s="5"/>
      <c r="D146" s="5"/>
      <c r="E146" s="8"/>
      <c r="F146" s="8"/>
      <c r="G146" s="8"/>
      <c r="H146" s="8"/>
      <c r="I146" s="6"/>
      <c r="J146" s="10" t="str">
        <f>IF(AND(B146="",C146="",D146=""),"",IF(OR(B146="",D146=""),"비용 설정 필요",IF(COUNTIFS('3_채널별_비용설정'!$C$6:$C$55,D146,'3_채널별_비용설정'!$D$6:$D$55,"&lt;="&amp;B146,'3_채널별_비용설정'!$L$6:$L$55,"&gt;="&amp;B146)=0,"비용 설정 필요",IF(COUNTIFS('3_채널별_비용설정'!$C$6:$C$55,D146,'3_채널별_비용설정'!$D$6:$D$55,"&lt;="&amp;B146,'3_채널별_비용설정'!$L$6:$L$55,"&gt;="&amp;B146)&gt;1,"기간 중복 확인","정상"))))</f>
      </c>
      <c r="K146" s="15" t="str">
        <f>IF(J146="","",IF(J146&lt;&gt;"정상","비용 설정 필요",SUMIFS('3_채널별_비용설정'!$F$6:$F$55,'3_채널별_비용설정'!$C$6:$C$55,D146,'3_채널별_비용설정'!$D$6:$D$55,"&lt;="&amp;B146,'3_채널별_비용설정'!$L$6:$L$55,"&gt;="&amp;B146)))</f>
      </c>
      <c r="L146" s="12" t="str">
        <f>IF(J146="","",IF(J146&lt;&gt;"정상","비용 설정 필요",ROUND(F146*K146,0)))</f>
      </c>
      <c r="M146" s="12" t="str">
        <f>IF(J146="","",IF(J146&lt;&gt;"정상","비용 설정 필요",SUMIFS('3_채널별_비용설정'!$J$6:$J$55,'3_채널별_비용설정'!$C$6:$C$55,D146,'3_채널별_비용설정'!$D$6:$D$55,"&lt;="&amp;B146,'3_채널별_비용설정'!$L$6:$L$55,"&gt;="&amp;B146)))</f>
      </c>
      <c r="N146" s="12" t="str">
        <f>IF(J146="","",IF(J146&lt;&gt;"정상","비용 설정 필요",E146*M146))</f>
      </c>
      <c r="O146" s="12" t="str">
        <f>IF(J146="","",IF(J146&lt;&gt;"정상","비용 설정 필요",G146+L146+N146+H146))</f>
      </c>
      <c r="P146" s="13" t="str">
        <f>IF(J146="","",IF(J146&lt;&gt;"정상","비용 설정 필요",F146-O146))</f>
      </c>
      <c r="Q146" s="14" t="str">
        <f>IF(J146="","",IF(J146&lt;&gt;"정상","비용 설정 필요",IFERROR(P146/F146,0)))</f>
      </c>
    </row>
    <row r="147">
      <c r="B147" s="7"/>
      <c r="C147" s="5"/>
      <c r="D147" s="5"/>
      <c r="E147" s="8"/>
      <c r="F147" s="8"/>
      <c r="G147" s="8"/>
      <c r="H147" s="8"/>
      <c r="I147" s="6"/>
      <c r="J147" s="10" t="str">
        <f>IF(AND(B147="",C147="",D147=""),"",IF(OR(B147="",D147=""),"비용 설정 필요",IF(COUNTIFS('3_채널별_비용설정'!$C$6:$C$55,D147,'3_채널별_비용설정'!$D$6:$D$55,"&lt;="&amp;B147,'3_채널별_비용설정'!$L$6:$L$55,"&gt;="&amp;B147)=0,"비용 설정 필요",IF(COUNTIFS('3_채널별_비용설정'!$C$6:$C$55,D147,'3_채널별_비용설정'!$D$6:$D$55,"&lt;="&amp;B147,'3_채널별_비용설정'!$L$6:$L$55,"&gt;="&amp;B147)&gt;1,"기간 중복 확인","정상"))))</f>
      </c>
      <c r="K147" s="15" t="str">
        <f>IF(J147="","",IF(J147&lt;&gt;"정상","비용 설정 필요",SUMIFS('3_채널별_비용설정'!$F$6:$F$55,'3_채널별_비용설정'!$C$6:$C$55,D147,'3_채널별_비용설정'!$D$6:$D$55,"&lt;="&amp;B147,'3_채널별_비용설정'!$L$6:$L$55,"&gt;="&amp;B147)))</f>
      </c>
      <c r="L147" s="12" t="str">
        <f>IF(J147="","",IF(J147&lt;&gt;"정상","비용 설정 필요",ROUND(F147*K147,0)))</f>
      </c>
      <c r="M147" s="12" t="str">
        <f>IF(J147="","",IF(J147&lt;&gt;"정상","비용 설정 필요",SUMIFS('3_채널별_비용설정'!$J$6:$J$55,'3_채널별_비용설정'!$C$6:$C$55,D147,'3_채널별_비용설정'!$D$6:$D$55,"&lt;="&amp;B147,'3_채널별_비용설정'!$L$6:$L$55,"&gt;="&amp;B147)))</f>
      </c>
      <c r="N147" s="12" t="str">
        <f>IF(J147="","",IF(J147&lt;&gt;"정상","비용 설정 필요",E147*M147))</f>
      </c>
      <c r="O147" s="12" t="str">
        <f>IF(J147="","",IF(J147&lt;&gt;"정상","비용 설정 필요",G147+L147+N147+H147))</f>
      </c>
      <c r="P147" s="13" t="str">
        <f>IF(J147="","",IF(J147&lt;&gt;"정상","비용 설정 필요",F147-O147))</f>
      </c>
      <c r="Q147" s="14" t="str">
        <f>IF(J147="","",IF(J147&lt;&gt;"정상","비용 설정 필요",IFERROR(P147/F147,0)))</f>
      </c>
    </row>
    <row r="148">
      <c r="B148" s="7"/>
      <c r="C148" s="5"/>
      <c r="D148" s="5"/>
      <c r="E148" s="8"/>
      <c r="F148" s="8"/>
      <c r="G148" s="8"/>
      <c r="H148" s="8"/>
      <c r="I148" s="6"/>
      <c r="J148" s="10" t="str">
        <f>IF(AND(B148="",C148="",D148=""),"",IF(OR(B148="",D148=""),"비용 설정 필요",IF(COUNTIFS('3_채널별_비용설정'!$C$6:$C$55,D148,'3_채널별_비용설정'!$D$6:$D$55,"&lt;="&amp;B148,'3_채널별_비용설정'!$L$6:$L$55,"&gt;="&amp;B148)=0,"비용 설정 필요",IF(COUNTIFS('3_채널별_비용설정'!$C$6:$C$55,D148,'3_채널별_비용설정'!$D$6:$D$55,"&lt;="&amp;B148,'3_채널별_비용설정'!$L$6:$L$55,"&gt;="&amp;B148)&gt;1,"기간 중복 확인","정상"))))</f>
      </c>
      <c r="K148" s="15" t="str">
        <f>IF(J148="","",IF(J148&lt;&gt;"정상","비용 설정 필요",SUMIFS('3_채널별_비용설정'!$F$6:$F$55,'3_채널별_비용설정'!$C$6:$C$55,D148,'3_채널별_비용설정'!$D$6:$D$55,"&lt;="&amp;B148,'3_채널별_비용설정'!$L$6:$L$55,"&gt;="&amp;B148)))</f>
      </c>
      <c r="L148" s="12" t="str">
        <f>IF(J148="","",IF(J148&lt;&gt;"정상","비용 설정 필요",ROUND(F148*K148,0)))</f>
      </c>
      <c r="M148" s="12" t="str">
        <f>IF(J148="","",IF(J148&lt;&gt;"정상","비용 설정 필요",SUMIFS('3_채널별_비용설정'!$J$6:$J$55,'3_채널별_비용설정'!$C$6:$C$55,D148,'3_채널별_비용설정'!$D$6:$D$55,"&lt;="&amp;B148,'3_채널별_비용설정'!$L$6:$L$55,"&gt;="&amp;B148)))</f>
      </c>
      <c r="N148" s="12" t="str">
        <f>IF(J148="","",IF(J148&lt;&gt;"정상","비용 설정 필요",E148*M148))</f>
      </c>
      <c r="O148" s="12" t="str">
        <f>IF(J148="","",IF(J148&lt;&gt;"정상","비용 설정 필요",G148+L148+N148+H148))</f>
      </c>
      <c r="P148" s="13" t="str">
        <f>IF(J148="","",IF(J148&lt;&gt;"정상","비용 설정 필요",F148-O148))</f>
      </c>
      <c r="Q148" s="14" t="str">
        <f>IF(J148="","",IF(J148&lt;&gt;"정상","비용 설정 필요",IFERROR(P148/F148,0)))</f>
      </c>
    </row>
    <row r="149">
      <c r="B149" s="7"/>
      <c r="C149" s="5"/>
      <c r="D149" s="5"/>
      <c r="E149" s="8"/>
      <c r="F149" s="8"/>
      <c r="G149" s="8"/>
      <c r="H149" s="8"/>
      <c r="I149" s="6"/>
      <c r="J149" s="10" t="str">
        <f>IF(AND(B149="",C149="",D149=""),"",IF(OR(B149="",D149=""),"비용 설정 필요",IF(COUNTIFS('3_채널별_비용설정'!$C$6:$C$55,D149,'3_채널별_비용설정'!$D$6:$D$55,"&lt;="&amp;B149,'3_채널별_비용설정'!$L$6:$L$55,"&gt;="&amp;B149)=0,"비용 설정 필요",IF(COUNTIFS('3_채널별_비용설정'!$C$6:$C$55,D149,'3_채널별_비용설정'!$D$6:$D$55,"&lt;="&amp;B149,'3_채널별_비용설정'!$L$6:$L$55,"&gt;="&amp;B149)&gt;1,"기간 중복 확인","정상"))))</f>
      </c>
      <c r="K149" s="15" t="str">
        <f>IF(J149="","",IF(J149&lt;&gt;"정상","비용 설정 필요",SUMIFS('3_채널별_비용설정'!$F$6:$F$55,'3_채널별_비용설정'!$C$6:$C$55,D149,'3_채널별_비용설정'!$D$6:$D$55,"&lt;="&amp;B149,'3_채널별_비용설정'!$L$6:$L$55,"&gt;="&amp;B149)))</f>
      </c>
      <c r="L149" s="12" t="str">
        <f>IF(J149="","",IF(J149&lt;&gt;"정상","비용 설정 필요",ROUND(F149*K149,0)))</f>
      </c>
      <c r="M149" s="12" t="str">
        <f>IF(J149="","",IF(J149&lt;&gt;"정상","비용 설정 필요",SUMIFS('3_채널별_비용설정'!$J$6:$J$55,'3_채널별_비용설정'!$C$6:$C$55,D149,'3_채널별_비용설정'!$D$6:$D$55,"&lt;="&amp;B149,'3_채널별_비용설정'!$L$6:$L$55,"&gt;="&amp;B149)))</f>
      </c>
      <c r="N149" s="12" t="str">
        <f>IF(J149="","",IF(J149&lt;&gt;"정상","비용 설정 필요",E149*M149))</f>
      </c>
      <c r="O149" s="12" t="str">
        <f>IF(J149="","",IF(J149&lt;&gt;"정상","비용 설정 필요",G149+L149+N149+H149))</f>
      </c>
      <c r="P149" s="13" t="str">
        <f>IF(J149="","",IF(J149&lt;&gt;"정상","비용 설정 필요",F149-O149))</f>
      </c>
      <c r="Q149" s="14" t="str">
        <f>IF(J149="","",IF(J149&lt;&gt;"정상","비용 설정 필요",IFERROR(P149/F149,0)))</f>
      </c>
    </row>
    <row r="150">
      <c r="B150" s="7"/>
      <c r="C150" s="5"/>
      <c r="D150" s="5"/>
      <c r="E150" s="8"/>
      <c r="F150" s="8"/>
      <c r="G150" s="8"/>
      <c r="H150" s="8"/>
      <c r="I150" s="6"/>
      <c r="J150" s="10" t="str">
        <f>IF(AND(B150="",C150="",D150=""),"",IF(OR(B150="",D150=""),"비용 설정 필요",IF(COUNTIFS('3_채널별_비용설정'!$C$6:$C$55,D150,'3_채널별_비용설정'!$D$6:$D$55,"&lt;="&amp;B150,'3_채널별_비용설정'!$L$6:$L$55,"&gt;="&amp;B150)=0,"비용 설정 필요",IF(COUNTIFS('3_채널별_비용설정'!$C$6:$C$55,D150,'3_채널별_비용설정'!$D$6:$D$55,"&lt;="&amp;B150,'3_채널별_비용설정'!$L$6:$L$55,"&gt;="&amp;B150)&gt;1,"기간 중복 확인","정상"))))</f>
      </c>
      <c r="K150" s="15" t="str">
        <f>IF(J150="","",IF(J150&lt;&gt;"정상","비용 설정 필요",SUMIFS('3_채널별_비용설정'!$F$6:$F$55,'3_채널별_비용설정'!$C$6:$C$55,D150,'3_채널별_비용설정'!$D$6:$D$55,"&lt;="&amp;B150,'3_채널별_비용설정'!$L$6:$L$55,"&gt;="&amp;B150)))</f>
      </c>
      <c r="L150" s="12" t="str">
        <f>IF(J150="","",IF(J150&lt;&gt;"정상","비용 설정 필요",ROUND(F150*K150,0)))</f>
      </c>
      <c r="M150" s="12" t="str">
        <f>IF(J150="","",IF(J150&lt;&gt;"정상","비용 설정 필요",SUMIFS('3_채널별_비용설정'!$J$6:$J$55,'3_채널별_비용설정'!$C$6:$C$55,D150,'3_채널별_비용설정'!$D$6:$D$55,"&lt;="&amp;B150,'3_채널별_비용설정'!$L$6:$L$55,"&gt;="&amp;B150)))</f>
      </c>
      <c r="N150" s="12" t="str">
        <f>IF(J150="","",IF(J150&lt;&gt;"정상","비용 설정 필요",E150*M150))</f>
      </c>
      <c r="O150" s="12" t="str">
        <f>IF(J150="","",IF(J150&lt;&gt;"정상","비용 설정 필요",G150+L150+N150+H150))</f>
      </c>
      <c r="P150" s="13" t="str">
        <f>IF(J150="","",IF(J150&lt;&gt;"정상","비용 설정 필요",F150-O150))</f>
      </c>
      <c r="Q150" s="14" t="str">
        <f>IF(J150="","",IF(J150&lt;&gt;"정상","비용 설정 필요",IFERROR(P150/F150,0)))</f>
      </c>
    </row>
    <row r="151">
      <c r="B151" s="7"/>
      <c r="C151" s="5"/>
      <c r="D151" s="5"/>
      <c r="E151" s="8"/>
      <c r="F151" s="8"/>
      <c r="G151" s="8"/>
      <c r="H151" s="8"/>
      <c r="I151" s="6"/>
      <c r="J151" s="10" t="str">
        <f>IF(AND(B151="",C151="",D151=""),"",IF(OR(B151="",D151=""),"비용 설정 필요",IF(COUNTIFS('3_채널별_비용설정'!$C$6:$C$55,D151,'3_채널별_비용설정'!$D$6:$D$55,"&lt;="&amp;B151,'3_채널별_비용설정'!$L$6:$L$55,"&gt;="&amp;B151)=0,"비용 설정 필요",IF(COUNTIFS('3_채널별_비용설정'!$C$6:$C$55,D151,'3_채널별_비용설정'!$D$6:$D$55,"&lt;="&amp;B151,'3_채널별_비용설정'!$L$6:$L$55,"&gt;="&amp;B151)&gt;1,"기간 중복 확인","정상"))))</f>
      </c>
      <c r="K151" s="15" t="str">
        <f>IF(J151="","",IF(J151&lt;&gt;"정상","비용 설정 필요",SUMIFS('3_채널별_비용설정'!$F$6:$F$55,'3_채널별_비용설정'!$C$6:$C$55,D151,'3_채널별_비용설정'!$D$6:$D$55,"&lt;="&amp;B151,'3_채널별_비용설정'!$L$6:$L$55,"&gt;="&amp;B151)))</f>
      </c>
      <c r="L151" s="12" t="str">
        <f>IF(J151="","",IF(J151&lt;&gt;"정상","비용 설정 필요",ROUND(F151*K151,0)))</f>
      </c>
      <c r="M151" s="12" t="str">
        <f>IF(J151="","",IF(J151&lt;&gt;"정상","비용 설정 필요",SUMIFS('3_채널별_비용설정'!$J$6:$J$55,'3_채널별_비용설정'!$C$6:$C$55,D151,'3_채널별_비용설정'!$D$6:$D$55,"&lt;="&amp;B151,'3_채널별_비용설정'!$L$6:$L$55,"&gt;="&amp;B151)))</f>
      </c>
      <c r="N151" s="12" t="str">
        <f>IF(J151="","",IF(J151&lt;&gt;"정상","비용 설정 필요",E151*M151))</f>
      </c>
      <c r="O151" s="12" t="str">
        <f>IF(J151="","",IF(J151&lt;&gt;"정상","비용 설정 필요",G151+L151+N151+H151))</f>
      </c>
      <c r="P151" s="13" t="str">
        <f>IF(J151="","",IF(J151&lt;&gt;"정상","비용 설정 필요",F151-O151))</f>
      </c>
      <c r="Q151" s="14" t="str">
        <f>IF(J151="","",IF(J151&lt;&gt;"정상","비용 설정 필요",IFERROR(P151/F151,0)))</f>
      </c>
    </row>
    <row r="152">
      <c r="B152" s="7"/>
      <c r="C152" s="5"/>
      <c r="D152" s="5"/>
      <c r="E152" s="8"/>
      <c r="F152" s="8"/>
      <c r="G152" s="8"/>
      <c r="H152" s="8"/>
      <c r="I152" s="6"/>
      <c r="J152" s="10" t="str">
        <f>IF(AND(B152="",C152="",D152=""),"",IF(OR(B152="",D152=""),"비용 설정 필요",IF(COUNTIFS('3_채널별_비용설정'!$C$6:$C$55,D152,'3_채널별_비용설정'!$D$6:$D$55,"&lt;="&amp;B152,'3_채널별_비용설정'!$L$6:$L$55,"&gt;="&amp;B152)=0,"비용 설정 필요",IF(COUNTIFS('3_채널별_비용설정'!$C$6:$C$55,D152,'3_채널별_비용설정'!$D$6:$D$55,"&lt;="&amp;B152,'3_채널별_비용설정'!$L$6:$L$55,"&gt;="&amp;B152)&gt;1,"기간 중복 확인","정상"))))</f>
      </c>
      <c r="K152" s="15" t="str">
        <f>IF(J152="","",IF(J152&lt;&gt;"정상","비용 설정 필요",SUMIFS('3_채널별_비용설정'!$F$6:$F$55,'3_채널별_비용설정'!$C$6:$C$55,D152,'3_채널별_비용설정'!$D$6:$D$55,"&lt;="&amp;B152,'3_채널별_비용설정'!$L$6:$L$55,"&gt;="&amp;B152)))</f>
      </c>
      <c r="L152" s="12" t="str">
        <f>IF(J152="","",IF(J152&lt;&gt;"정상","비용 설정 필요",ROUND(F152*K152,0)))</f>
      </c>
      <c r="M152" s="12" t="str">
        <f>IF(J152="","",IF(J152&lt;&gt;"정상","비용 설정 필요",SUMIFS('3_채널별_비용설정'!$J$6:$J$55,'3_채널별_비용설정'!$C$6:$C$55,D152,'3_채널별_비용설정'!$D$6:$D$55,"&lt;="&amp;B152,'3_채널별_비용설정'!$L$6:$L$55,"&gt;="&amp;B152)))</f>
      </c>
      <c r="N152" s="12" t="str">
        <f>IF(J152="","",IF(J152&lt;&gt;"정상","비용 설정 필요",E152*M152))</f>
      </c>
      <c r="O152" s="12" t="str">
        <f>IF(J152="","",IF(J152&lt;&gt;"정상","비용 설정 필요",G152+L152+N152+H152))</f>
      </c>
      <c r="P152" s="13" t="str">
        <f>IF(J152="","",IF(J152&lt;&gt;"정상","비용 설정 필요",F152-O152))</f>
      </c>
      <c r="Q152" s="14" t="str">
        <f>IF(J152="","",IF(J152&lt;&gt;"정상","비용 설정 필요",IFERROR(P152/F152,0)))</f>
      </c>
    </row>
    <row r="153">
      <c r="B153" s="7"/>
      <c r="C153" s="5"/>
      <c r="D153" s="5"/>
      <c r="E153" s="8"/>
      <c r="F153" s="8"/>
      <c r="G153" s="8"/>
      <c r="H153" s="8"/>
      <c r="I153" s="6"/>
      <c r="J153" s="10" t="str">
        <f>IF(AND(B153="",C153="",D153=""),"",IF(OR(B153="",D153=""),"비용 설정 필요",IF(COUNTIFS('3_채널별_비용설정'!$C$6:$C$55,D153,'3_채널별_비용설정'!$D$6:$D$55,"&lt;="&amp;B153,'3_채널별_비용설정'!$L$6:$L$55,"&gt;="&amp;B153)=0,"비용 설정 필요",IF(COUNTIFS('3_채널별_비용설정'!$C$6:$C$55,D153,'3_채널별_비용설정'!$D$6:$D$55,"&lt;="&amp;B153,'3_채널별_비용설정'!$L$6:$L$55,"&gt;="&amp;B153)&gt;1,"기간 중복 확인","정상"))))</f>
      </c>
      <c r="K153" s="15" t="str">
        <f>IF(J153="","",IF(J153&lt;&gt;"정상","비용 설정 필요",SUMIFS('3_채널별_비용설정'!$F$6:$F$55,'3_채널별_비용설정'!$C$6:$C$55,D153,'3_채널별_비용설정'!$D$6:$D$55,"&lt;="&amp;B153,'3_채널별_비용설정'!$L$6:$L$55,"&gt;="&amp;B153)))</f>
      </c>
      <c r="L153" s="12" t="str">
        <f>IF(J153="","",IF(J153&lt;&gt;"정상","비용 설정 필요",ROUND(F153*K153,0)))</f>
      </c>
      <c r="M153" s="12" t="str">
        <f>IF(J153="","",IF(J153&lt;&gt;"정상","비용 설정 필요",SUMIFS('3_채널별_비용설정'!$J$6:$J$55,'3_채널별_비용설정'!$C$6:$C$55,D153,'3_채널별_비용설정'!$D$6:$D$55,"&lt;="&amp;B153,'3_채널별_비용설정'!$L$6:$L$55,"&gt;="&amp;B153)))</f>
      </c>
      <c r="N153" s="12" t="str">
        <f>IF(J153="","",IF(J153&lt;&gt;"정상","비용 설정 필요",E153*M153))</f>
      </c>
      <c r="O153" s="12" t="str">
        <f>IF(J153="","",IF(J153&lt;&gt;"정상","비용 설정 필요",G153+L153+N153+H153))</f>
      </c>
      <c r="P153" s="13" t="str">
        <f>IF(J153="","",IF(J153&lt;&gt;"정상","비용 설정 필요",F153-O153))</f>
      </c>
      <c r="Q153" s="14" t="str">
        <f>IF(J153="","",IF(J153&lt;&gt;"정상","비용 설정 필요",IFERROR(P153/F153,0)))</f>
      </c>
    </row>
    <row r="154">
      <c r="B154" s="7"/>
      <c r="C154" s="5"/>
      <c r="D154" s="5"/>
      <c r="E154" s="8"/>
      <c r="F154" s="8"/>
      <c r="G154" s="8"/>
      <c r="H154" s="8"/>
      <c r="I154" s="6"/>
      <c r="J154" s="10" t="str">
        <f>IF(AND(B154="",C154="",D154=""),"",IF(OR(B154="",D154=""),"비용 설정 필요",IF(COUNTIFS('3_채널별_비용설정'!$C$6:$C$55,D154,'3_채널별_비용설정'!$D$6:$D$55,"&lt;="&amp;B154,'3_채널별_비용설정'!$L$6:$L$55,"&gt;="&amp;B154)=0,"비용 설정 필요",IF(COUNTIFS('3_채널별_비용설정'!$C$6:$C$55,D154,'3_채널별_비용설정'!$D$6:$D$55,"&lt;="&amp;B154,'3_채널별_비용설정'!$L$6:$L$55,"&gt;="&amp;B154)&gt;1,"기간 중복 확인","정상"))))</f>
      </c>
      <c r="K154" s="15" t="str">
        <f>IF(J154="","",IF(J154&lt;&gt;"정상","비용 설정 필요",SUMIFS('3_채널별_비용설정'!$F$6:$F$55,'3_채널별_비용설정'!$C$6:$C$55,D154,'3_채널별_비용설정'!$D$6:$D$55,"&lt;="&amp;B154,'3_채널별_비용설정'!$L$6:$L$55,"&gt;="&amp;B154)))</f>
      </c>
      <c r="L154" s="12" t="str">
        <f>IF(J154="","",IF(J154&lt;&gt;"정상","비용 설정 필요",ROUND(F154*K154,0)))</f>
      </c>
      <c r="M154" s="12" t="str">
        <f>IF(J154="","",IF(J154&lt;&gt;"정상","비용 설정 필요",SUMIFS('3_채널별_비용설정'!$J$6:$J$55,'3_채널별_비용설정'!$C$6:$C$55,D154,'3_채널별_비용설정'!$D$6:$D$55,"&lt;="&amp;B154,'3_채널별_비용설정'!$L$6:$L$55,"&gt;="&amp;B154)))</f>
      </c>
      <c r="N154" s="12" t="str">
        <f>IF(J154="","",IF(J154&lt;&gt;"정상","비용 설정 필요",E154*M154))</f>
      </c>
      <c r="O154" s="12" t="str">
        <f>IF(J154="","",IF(J154&lt;&gt;"정상","비용 설정 필요",G154+L154+N154+H154))</f>
      </c>
      <c r="P154" s="13" t="str">
        <f>IF(J154="","",IF(J154&lt;&gt;"정상","비용 설정 필요",F154-O154))</f>
      </c>
      <c r="Q154" s="14" t="str">
        <f>IF(J154="","",IF(J154&lt;&gt;"정상","비용 설정 필요",IFERROR(P154/F154,0)))</f>
      </c>
    </row>
    <row r="155">
      <c r="B155" s="7"/>
      <c r="C155" s="5"/>
      <c r="D155" s="5"/>
      <c r="E155" s="8"/>
      <c r="F155" s="8"/>
      <c r="G155" s="8"/>
      <c r="H155" s="8"/>
      <c r="I155" s="6"/>
      <c r="J155" s="10" t="str">
        <f>IF(AND(B155="",C155="",D155=""),"",IF(OR(B155="",D155=""),"비용 설정 필요",IF(COUNTIFS('3_채널별_비용설정'!$C$6:$C$55,D155,'3_채널별_비용설정'!$D$6:$D$55,"&lt;="&amp;B155,'3_채널별_비용설정'!$L$6:$L$55,"&gt;="&amp;B155)=0,"비용 설정 필요",IF(COUNTIFS('3_채널별_비용설정'!$C$6:$C$55,D155,'3_채널별_비용설정'!$D$6:$D$55,"&lt;="&amp;B155,'3_채널별_비용설정'!$L$6:$L$55,"&gt;="&amp;B155)&gt;1,"기간 중복 확인","정상"))))</f>
      </c>
      <c r="K155" s="15" t="str">
        <f>IF(J155="","",IF(J155&lt;&gt;"정상","비용 설정 필요",SUMIFS('3_채널별_비용설정'!$F$6:$F$55,'3_채널별_비용설정'!$C$6:$C$55,D155,'3_채널별_비용설정'!$D$6:$D$55,"&lt;="&amp;B155,'3_채널별_비용설정'!$L$6:$L$55,"&gt;="&amp;B155)))</f>
      </c>
      <c r="L155" s="12" t="str">
        <f>IF(J155="","",IF(J155&lt;&gt;"정상","비용 설정 필요",ROUND(F155*K155,0)))</f>
      </c>
      <c r="M155" s="12" t="str">
        <f>IF(J155="","",IF(J155&lt;&gt;"정상","비용 설정 필요",SUMIFS('3_채널별_비용설정'!$J$6:$J$55,'3_채널별_비용설정'!$C$6:$C$55,D155,'3_채널별_비용설정'!$D$6:$D$55,"&lt;="&amp;B155,'3_채널별_비용설정'!$L$6:$L$55,"&gt;="&amp;B155)))</f>
      </c>
      <c r="N155" s="12" t="str">
        <f>IF(J155="","",IF(J155&lt;&gt;"정상","비용 설정 필요",E155*M155))</f>
      </c>
      <c r="O155" s="12" t="str">
        <f>IF(J155="","",IF(J155&lt;&gt;"정상","비용 설정 필요",G155+L155+N155+H155))</f>
      </c>
      <c r="P155" s="13" t="str">
        <f>IF(J155="","",IF(J155&lt;&gt;"정상","비용 설정 필요",F155-O155))</f>
      </c>
      <c r="Q155" s="14" t="str">
        <f>IF(J155="","",IF(J155&lt;&gt;"정상","비용 설정 필요",IFERROR(P155/F155,0)))</f>
      </c>
    </row>
    <row r="156">
      <c r="B156" s="7"/>
      <c r="C156" s="5"/>
      <c r="D156" s="5"/>
      <c r="E156" s="8"/>
      <c r="F156" s="8"/>
      <c r="G156" s="8"/>
      <c r="H156" s="8"/>
      <c r="I156" s="6"/>
      <c r="J156" s="10" t="str">
        <f>IF(AND(B156="",C156="",D156=""),"",IF(OR(B156="",D156=""),"비용 설정 필요",IF(COUNTIFS('3_채널별_비용설정'!$C$6:$C$55,D156,'3_채널별_비용설정'!$D$6:$D$55,"&lt;="&amp;B156,'3_채널별_비용설정'!$L$6:$L$55,"&gt;="&amp;B156)=0,"비용 설정 필요",IF(COUNTIFS('3_채널별_비용설정'!$C$6:$C$55,D156,'3_채널별_비용설정'!$D$6:$D$55,"&lt;="&amp;B156,'3_채널별_비용설정'!$L$6:$L$55,"&gt;="&amp;B156)&gt;1,"기간 중복 확인","정상"))))</f>
      </c>
      <c r="K156" s="15" t="str">
        <f>IF(J156="","",IF(J156&lt;&gt;"정상","비용 설정 필요",SUMIFS('3_채널별_비용설정'!$F$6:$F$55,'3_채널별_비용설정'!$C$6:$C$55,D156,'3_채널별_비용설정'!$D$6:$D$55,"&lt;="&amp;B156,'3_채널별_비용설정'!$L$6:$L$55,"&gt;="&amp;B156)))</f>
      </c>
      <c r="L156" s="12" t="str">
        <f>IF(J156="","",IF(J156&lt;&gt;"정상","비용 설정 필요",ROUND(F156*K156,0)))</f>
      </c>
      <c r="M156" s="12" t="str">
        <f>IF(J156="","",IF(J156&lt;&gt;"정상","비용 설정 필요",SUMIFS('3_채널별_비용설정'!$J$6:$J$55,'3_채널별_비용설정'!$C$6:$C$55,D156,'3_채널별_비용설정'!$D$6:$D$55,"&lt;="&amp;B156,'3_채널별_비용설정'!$L$6:$L$55,"&gt;="&amp;B156)))</f>
      </c>
      <c r="N156" s="12" t="str">
        <f>IF(J156="","",IF(J156&lt;&gt;"정상","비용 설정 필요",E156*M156))</f>
      </c>
      <c r="O156" s="12" t="str">
        <f>IF(J156="","",IF(J156&lt;&gt;"정상","비용 설정 필요",G156+L156+N156+H156))</f>
      </c>
      <c r="P156" s="13" t="str">
        <f>IF(J156="","",IF(J156&lt;&gt;"정상","비용 설정 필요",F156-O156))</f>
      </c>
      <c r="Q156" s="14" t="str">
        <f>IF(J156="","",IF(J156&lt;&gt;"정상","비용 설정 필요",IFERROR(P156/F156,0)))</f>
      </c>
    </row>
    <row r="157">
      <c r="B157" s="7"/>
      <c r="C157" s="5"/>
      <c r="D157" s="5"/>
      <c r="E157" s="8"/>
      <c r="F157" s="8"/>
      <c r="G157" s="8"/>
      <c r="H157" s="8"/>
      <c r="I157" s="6"/>
      <c r="J157" s="10" t="str">
        <f>IF(AND(B157="",C157="",D157=""),"",IF(OR(B157="",D157=""),"비용 설정 필요",IF(COUNTIFS('3_채널별_비용설정'!$C$6:$C$55,D157,'3_채널별_비용설정'!$D$6:$D$55,"&lt;="&amp;B157,'3_채널별_비용설정'!$L$6:$L$55,"&gt;="&amp;B157)=0,"비용 설정 필요",IF(COUNTIFS('3_채널별_비용설정'!$C$6:$C$55,D157,'3_채널별_비용설정'!$D$6:$D$55,"&lt;="&amp;B157,'3_채널별_비용설정'!$L$6:$L$55,"&gt;="&amp;B157)&gt;1,"기간 중복 확인","정상"))))</f>
      </c>
      <c r="K157" s="15" t="str">
        <f>IF(J157="","",IF(J157&lt;&gt;"정상","비용 설정 필요",SUMIFS('3_채널별_비용설정'!$F$6:$F$55,'3_채널별_비용설정'!$C$6:$C$55,D157,'3_채널별_비용설정'!$D$6:$D$55,"&lt;="&amp;B157,'3_채널별_비용설정'!$L$6:$L$55,"&gt;="&amp;B157)))</f>
      </c>
      <c r="L157" s="12" t="str">
        <f>IF(J157="","",IF(J157&lt;&gt;"정상","비용 설정 필요",ROUND(F157*K157,0)))</f>
      </c>
      <c r="M157" s="12" t="str">
        <f>IF(J157="","",IF(J157&lt;&gt;"정상","비용 설정 필요",SUMIFS('3_채널별_비용설정'!$J$6:$J$55,'3_채널별_비용설정'!$C$6:$C$55,D157,'3_채널별_비용설정'!$D$6:$D$55,"&lt;="&amp;B157,'3_채널별_비용설정'!$L$6:$L$55,"&gt;="&amp;B157)))</f>
      </c>
      <c r="N157" s="12" t="str">
        <f>IF(J157="","",IF(J157&lt;&gt;"정상","비용 설정 필요",E157*M157))</f>
      </c>
      <c r="O157" s="12" t="str">
        <f>IF(J157="","",IF(J157&lt;&gt;"정상","비용 설정 필요",G157+L157+N157+H157))</f>
      </c>
      <c r="P157" s="13" t="str">
        <f>IF(J157="","",IF(J157&lt;&gt;"정상","비용 설정 필요",F157-O157))</f>
      </c>
      <c r="Q157" s="14" t="str">
        <f>IF(J157="","",IF(J157&lt;&gt;"정상","비용 설정 필요",IFERROR(P157/F157,0)))</f>
      </c>
    </row>
    <row r="158">
      <c r="B158" s="7"/>
      <c r="C158" s="5"/>
      <c r="D158" s="5"/>
      <c r="E158" s="8"/>
      <c r="F158" s="8"/>
      <c r="G158" s="8"/>
      <c r="H158" s="8"/>
      <c r="I158" s="6"/>
      <c r="J158" s="10" t="str">
        <f>IF(AND(B158="",C158="",D158=""),"",IF(OR(B158="",D158=""),"비용 설정 필요",IF(COUNTIFS('3_채널별_비용설정'!$C$6:$C$55,D158,'3_채널별_비용설정'!$D$6:$D$55,"&lt;="&amp;B158,'3_채널별_비용설정'!$L$6:$L$55,"&gt;="&amp;B158)=0,"비용 설정 필요",IF(COUNTIFS('3_채널별_비용설정'!$C$6:$C$55,D158,'3_채널별_비용설정'!$D$6:$D$55,"&lt;="&amp;B158,'3_채널별_비용설정'!$L$6:$L$55,"&gt;="&amp;B158)&gt;1,"기간 중복 확인","정상"))))</f>
      </c>
      <c r="K158" s="15" t="str">
        <f>IF(J158="","",IF(J158&lt;&gt;"정상","비용 설정 필요",SUMIFS('3_채널별_비용설정'!$F$6:$F$55,'3_채널별_비용설정'!$C$6:$C$55,D158,'3_채널별_비용설정'!$D$6:$D$55,"&lt;="&amp;B158,'3_채널별_비용설정'!$L$6:$L$55,"&gt;="&amp;B158)))</f>
      </c>
      <c r="L158" s="12" t="str">
        <f>IF(J158="","",IF(J158&lt;&gt;"정상","비용 설정 필요",ROUND(F158*K158,0)))</f>
      </c>
      <c r="M158" s="12" t="str">
        <f>IF(J158="","",IF(J158&lt;&gt;"정상","비용 설정 필요",SUMIFS('3_채널별_비용설정'!$J$6:$J$55,'3_채널별_비용설정'!$C$6:$C$55,D158,'3_채널별_비용설정'!$D$6:$D$55,"&lt;="&amp;B158,'3_채널별_비용설정'!$L$6:$L$55,"&gt;="&amp;B158)))</f>
      </c>
      <c r="N158" s="12" t="str">
        <f>IF(J158="","",IF(J158&lt;&gt;"정상","비용 설정 필요",E158*M158))</f>
      </c>
      <c r="O158" s="12" t="str">
        <f>IF(J158="","",IF(J158&lt;&gt;"정상","비용 설정 필요",G158+L158+N158+H158))</f>
      </c>
      <c r="P158" s="13" t="str">
        <f>IF(J158="","",IF(J158&lt;&gt;"정상","비용 설정 필요",F158-O158))</f>
      </c>
      <c r="Q158" s="14" t="str">
        <f>IF(J158="","",IF(J158&lt;&gt;"정상","비용 설정 필요",IFERROR(P158/F158,0)))</f>
      </c>
    </row>
    <row r="159">
      <c r="B159" s="7"/>
      <c r="C159" s="5"/>
      <c r="D159" s="5"/>
      <c r="E159" s="8"/>
      <c r="F159" s="8"/>
      <c r="G159" s="8"/>
      <c r="H159" s="8"/>
      <c r="I159" s="6"/>
      <c r="J159" s="10" t="str">
        <f>IF(AND(B159="",C159="",D159=""),"",IF(OR(B159="",D159=""),"비용 설정 필요",IF(COUNTIFS('3_채널별_비용설정'!$C$6:$C$55,D159,'3_채널별_비용설정'!$D$6:$D$55,"&lt;="&amp;B159,'3_채널별_비용설정'!$L$6:$L$55,"&gt;="&amp;B159)=0,"비용 설정 필요",IF(COUNTIFS('3_채널별_비용설정'!$C$6:$C$55,D159,'3_채널별_비용설정'!$D$6:$D$55,"&lt;="&amp;B159,'3_채널별_비용설정'!$L$6:$L$55,"&gt;="&amp;B159)&gt;1,"기간 중복 확인","정상"))))</f>
      </c>
      <c r="K159" s="15" t="str">
        <f>IF(J159="","",IF(J159&lt;&gt;"정상","비용 설정 필요",SUMIFS('3_채널별_비용설정'!$F$6:$F$55,'3_채널별_비용설정'!$C$6:$C$55,D159,'3_채널별_비용설정'!$D$6:$D$55,"&lt;="&amp;B159,'3_채널별_비용설정'!$L$6:$L$55,"&gt;="&amp;B159)))</f>
      </c>
      <c r="L159" s="12" t="str">
        <f>IF(J159="","",IF(J159&lt;&gt;"정상","비용 설정 필요",ROUND(F159*K159,0)))</f>
      </c>
      <c r="M159" s="12" t="str">
        <f>IF(J159="","",IF(J159&lt;&gt;"정상","비용 설정 필요",SUMIFS('3_채널별_비용설정'!$J$6:$J$55,'3_채널별_비용설정'!$C$6:$C$55,D159,'3_채널별_비용설정'!$D$6:$D$55,"&lt;="&amp;B159,'3_채널별_비용설정'!$L$6:$L$55,"&gt;="&amp;B159)))</f>
      </c>
      <c r="N159" s="12" t="str">
        <f>IF(J159="","",IF(J159&lt;&gt;"정상","비용 설정 필요",E159*M159))</f>
      </c>
      <c r="O159" s="12" t="str">
        <f>IF(J159="","",IF(J159&lt;&gt;"정상","비용 설정 필요",G159+L159+N159+H159))</f>
      </c>
      <c r="P159" s="13" t="str">
        <f>IF(J159="","",IF(J159&lt;&gt;"정상","비용 설정 필요",F159-O159))</f>
      </c>
      <c r="Q159" s="14" t="str">
        <f>IF(J159="","",IF(J159&lt;&gt;"정상","비용 설정 필요",IFERROR(P159/F159,0)))</f>
      </c>
    </row>
    <row r="160">
      <c r="B160" s="7"/>
      <c r="C160" s="5"/>
      <c r="D160" s="5"/>
      <c r="E160" s="8"/>
      <c r="F160" s="8"/>
      <c r="G160" s="8"/>
      <c r="H160" s="8"/>
      <c r="I160" s="6"/>
      <c r="J160" s="10" t="str">
        <f>IF(AND(B160="",C160="",D160=""),"",IF(OR(B160="",D160=""),"비용 설정 필요",IF(COUNTIFS('3_채널별_비용설정'!$C$6:$C$55,D160,'3_채널별_비용설정'!$D$6:$D$55,"&lt;="&amp;B160,'3_채널별_비용설정'!$L$6:$L$55,"&gt;="&amp;B160)=0,"비용 설정 필요",IF(COUNTIFS('3_채널별_비용설정'!$C$6:$C$55,D160,'3_채널별_비용설정'!$D$6:$D$55,"&lt;="&amp;B160,'3_채널별_비용설정'!$L$6:$L$55,"&gt;="&amp;B160)&gt;1,"기간 중복 확인","정상"))))</f>
      </c>
      <c r="K160" s="15" t="str">
        <f>IF(J160="","",IF(J160&lt;&gt;"정상","비용 설정 필요",SUMIFS('3_채널별_비용설정'!$F$6:$F$55,'3_채널별_비용설정'!$C$6:$C$55,D160,'3_채널별_비용설정'!$D$6:$D$55,"&lt;="&amp;B160,'3_채널별_비용설정'!$L$6:$L$55,"&gt;="&amp;B160)))</f>
      </c>
      <c r="L160" s="12" t="str">
        <f>IF(J160="","",IF(J160&lt;&gt;"정상","비용 설정 필요",ROUND(F160*K160,0)))</f>
      </c>
      <c r="M160" s="12" t="str">
        <f>IF(J160="","",IF(J160&lt;&gt;"정상","비용 설정 필요",SUMIFS('3_채널별_비용설정'!$J$6:$J$55,'3_채널별_비용설정'!$C$6:$C$55,D160,'3_채널별_비용설정'!$D$6:$D$55,"&lt;="&amp;B160,'3_채널별_비용설정'!$L$6:$L$55,"&gt;="&amp;B160)))</f>
      </c>
      <c r="N160" s="12" t="str">
        <f>IF(J160="","",IF(J160&lt;&gt;"정상","비용 설정 필요",E160*M160))</f>
      </c>
      <c r="O160" s="12" t="str">
        <f>IF(J160="","",IF(J160&lt;&gt;"정상","비용 설정 필요",G160+L160+N160+H160))</f>
      </c>
      <c r="P160" s="13" t="str">
        <f>IF(J160="","",IF(J160&lt;&gt;"정상","비용 설정 필요",F160-O160))</f>
      </c>
      <c r="Q160" s="14" t="str">
        <f>IF(J160="","",IF(J160&lt;&gt;"정상","비용 설정 필요",IFERROR(P160/F160,0)))</f>
      </c>
    </row>
    <row r="161">
      <c r="B161" s="7"/>
      <c r="C161" s="5"/>
      <c r="D161" s="5"/>
      <c r="E161" s="8"/>
      <c r="F161" s="8"/>
      <c r="G161" s="8"/>
      <c r="H161" s="8"/>
      <c r="I161" s="6"/>
      <c r="J161" s="10" t="str">
        <f>IF(AND(B161="",C161="",D161=""),"",IF(OR(B161="",D161=""),"비용 설정 필요",IF(COUNTIFS('3_채널별_비용설정'!$C$6:$C$55,D161,'3_채널별_비용설정'!$D$6:$D$55,"&lt;="&amp;B161,'3_채널별_비용설정'!$L$6:$L$55,"&gt;="&amp;B161)=0,"비용 설정 필요",IF(COUNTIFS('3_채널별_비용설정'!$C$6:$C$55,D161,'3_채널별_비용설정'!$D$6:$D$55,"&lt;="&amp;B161,'3_채널별_비용설정'!$L$6:$L$55,"&gt;="&amp;B161)&gt;1,"기간 중복 확인","정상"))))</f>
      </c>
      <c r="K161" s="15" t="str">
        <f>IF(J161="","",IF(J161&lt;&gt;"정상","비용 설정 필요",SUMIFS('3_채널별_비용설정'!$F$6:$F$55,'3_채널별_비용설정'!$C$6:$C$55,D161,'3_채널별_비용설정'!$D$6:$D$55,"&lt;="&amp;B161,'3_채널별_비용설정'!$L$6:$L$55,"&gt;="&amp;B161)))</f>
      </c>
      <c r="L161" s="12" t="str">
        <f>IF(J161="","",IF(J161&lt;&gt;"정상","비용 설정 필요",ROUND(F161*K161,0)))</f>
      </c>
      <c r="M161" s="12" t="str">
        <f>IF(J161="","",IF(J161&lt;&gt;"정상","비용 설정 필요",SUMIFS('3_채널별_비용설정'!$J$6:$J$55,'3_채널별_비용설정'!$C$6:$C$55,D161,'3_채널별_비용설정'!$D$6:$D$55,"&lt;="&amp;B161,'3_채널별_비용설정'!$L$6:$L$55,"&gt;="&amp;B161)))</f>
      </c>
      <c r="N161" s="12" t="str">
        <f>IF(J161="","",IF(J161&lt;&gt;"정상","비용 설정 필요",E161*M161))</f>
      </c>
      <c r="O161" s="12" t="str">
        <f>IF(J161="","",IF(J161&lt;&gt;"정상","비용 설정 필요",G161+L161+N161+H161))</f>
      </c>
      <c r="P161" s="13" t="str">
        <f>IF(J161="","",IF(J161&lt;&gt;"정상","비용 설정 필요",F161-O161))</f>
      </c>
      <c r="Q161" s="14" t="str">
        <f>IF(J161="","",IF(J161&lt;&gt;"정상","비용 설정 필요",IFERROR(P161/F161,0)))</f>
      </c>
    </row>
    <row r="162">
      <c r="B162" s="7"/>
      <c r="C162" s="5"/>
      <c r="D162" s="5"/>
      <c r="E162" s="8"/>
      <c r="F162" s="8"/>
      <c r="G162" s="8"/>
      <c r="H162" s="8"/>
      <c r="I162" s="6"/>
      <c r="J162" s="10" t="str">
        <f>IF(AND(B162="",C162="",D162=""),"",IF(OR(B162="",D162=""),"비용 설정 필요",IF(COUNTIFS('3_채널별_비용설정'!$C$6:$C$55,D162,'3_채널별_비용설정'!$D$6:$D$55,"&lt;="&amp;B162,'3_채널별_비용설정'!$L$6:$L$55,"&gt;="&amp;B162)=0,"비용 설정 필요",IF(COUNTIFS('3_채널별_비용설정'!$C$6:$C$55,D162,'3_채널별_비용설정'!$D$6:$D$55,"&lt;="&amp;B162,'3_채널별_비용설정'!$L$6:$L$55,"&gt;="&amp;B162)&gt;1,"기간 중복 확인","정상"))))</f>
      </c>
      <c r="K162" s="15" t="str">
        <f>IF(J162="","",IF(J162&lt;&gt;"정상","비용 설정 필요",SUMIFS('3_채널별_비용설정'!$F$6:$F$55,'3_채널별_비용설정'!$C$6:$C$55,D162,'3_채널별_비용설정'!$D$6:$D$55,"&lt;="&amp;B162,'3_채널별_비용설정'!$L$6:$L$55,"&gt;="&amp;B162)))</f>
      </c>
      <c r="L162" s="12" t="str">
        <f>IF(J162="","",IF(J162&lt;&gt;"정상","비용 설정 필요",ROUND(F162*K162,0)))</f>
      </c>
      <c r="M162" s="12" t="str">
        <f>IF(J162="","",IF(J162&lt;&gt;"정상","비용 설정 필요",SUMIFS('3_채널별_비용설정'!$J$6:$J$55,'3_채널별_비용설정'!$C$6:$C$55,D162,'3_채널별_비용설정'!$D$6:$D$55,"&lt;="&amp;B162,'3_채널별_비용설정'!$L$6:$L$55,"&gt;="&amp;B162)))</f>
      </c>
      <c r="N162" s="12" t="str">
        <f>IF(J162="","",IF(J162&lt;&gt;"정상","비용 설정 필요",E162*M162))</f>
      </c>
      <c r="O162" s="12" t="str">
        <f>IF(J162="","",IF(J162&lt;&gt;"정상","비용 설정 필요",G162+L162+N162+H162))</f>
      </c>
      <c r="P162" s="13" t="str">
        <f>IF(J162="","",IF(J162&lt;&gt;"정상","비용 설정 필요",F162-O162))</f>
      </c>
      <c r="Q162" s="14" t="str">
        <f>IF(J162="","",IF(J162&lt;&gt;"정상","비용 설정 필요",IFERROR(P162/F162,0)))</f>
      </c>
    </row>
    <row r="163">
      <c r="B163" s="7"/>
      <c r="C163" s="5"/>
      <c r="D163" s="5"/>
      <c r="E163" s="8"/>
      <c r="F163" s="8"/>
      <c r="G163" s="8"/>
      <c r="H163" s="8"/>
      <c r="I163" s="6"/>
      <c r="J163" s="10" t="str">
        <f>IF(AND(B163="",C163="",D163=""),"",IF(OR(B163="",D163=""),"비용 설정 필요",IF(COUNTIFS('3_채널별_비용설정'!$C$6:$C$55,D163,'3_채널별_비용설정'!$D$6:$D$55,"&lt;="&amp;B163,'3_채널별_비용설정'!$L$6:$L$55,"&gt;="&amp;B163)=0,"비용 설정 필요",IF(COUNTIFS('3_채널별_비용설정'!$C$6:$C$55,D163,'3_채널별_비용설정'!$D$6:$D$55,"&lt;="&amp;B163,'3_채널별_비용설정'!$L$6:$L$55,"&gt;="&amp;B163)&gt;1,"기간 중복 확인","정상"))))</f>
      </c>
      <c r="K163" s="15" t="str">
        <f>IF(J163="","",IF(J163&lt;&gt;"정상","비용 설정 필요",SUMIFS('3_채널별_비용설정'!$F$6:$F$55,'3_채널별_비용설정'!$C$6:$C$55,D163,'3_채널별_비용설정'!$D$6:$D$55,"&lt;="&amp;B163,'3_채널별_비용설정'!$L$6:$L$55,"&gt;="&amp;B163)))</f>
      </c>
      <c r="L163" s="12" t="str">
        <f>IF(J163="","",IF(J163&lt;&gt;"정상","비용 설정 필요",ROUND(F163*K163,0)))</f>
      </c>
      <c r="M163" s="12" t="str">
        <f>IF(J163="","",IF(J163&lt;&gt;"정상","비용 설정 필요",SUMIFS('3_채널별_비용설정'!$J$6:$J$55,'3_채널별_비용설정'!$C$6:$C$55,D163,'3_채널별_비용설정'!$D$6:$D$55,"&lt;="&amp;B163,'3_채널별_비용설정'!$L$6:$L$55,"&gt;="&amp;B163)))</f>
      </c>
      <c r="N163" s="12" t="str">
        <f>IF(J163="","",IF(J163&lt;&gt;"정상","비용 설정 필요",E163*M163))</f>
      </c>
      <c r="O163" s="12" t="str">
        <f>IF(J163="","",IF(J163&lt;&gt;"정상","비용 설정 필요",G163+L163+N163+H163))</f>
      </c>
      <c r="P163" s="13" t="str">
        <f>IF(J163="","",IF(J163&lt;&gt;"정상","비용 설정 필요",F163-O163))</f>
      </c>
      <c r="Q163" s="14" t="str">
        <f>IF(J163="","",IF(J163&lt;&gt;"정상","비용 설정 필요",IFERROR(P163/F163,0)))</f>
      </c>
    </row>
    <row r="164">
      <c r="B164" s="7"/>
      <c r="C164" s="5"/>
      <c r="D164" s="5"/>
      <c r="E164" s="8"/>
      <c r="F164" s="8"/>
      <c r="G164" s="8"/>
      <c r="H164" s="8"/>
      <c r="I164" s="6"/>
      <c r="J164" s="10" t="str">
        <f>IF(AND(B164="",C164="",D164=""),"",IF(OR(B164="",D164=""),"비용 설정 필요",IF(COUNTIFS('3_채널별_비용설정'!$C$6:$C$55,D164,'3_채널별_비용설정'!$D$6:$D$55,"&lt;="&amp;B164,'3_채널별_비용설정'!$L$6:$L$55,"&gt;="&amp;B164)=0,"비용 설정 필요",IF(COUNTIFS('3_채널별_비용설정'!$C$6:$C$55,D164,'3_채널별_비용설정'!$D$6:$D$55,"&lt;="&amp;B164,'3_채널별_비용설정'!$L$6:$L$55,"&gt;="&amp;B164)&gt;1,"기간 중복 확인","정상"))))</f>
      </c>
      <c r="K164" s="15" t="str">
        <f>IF(J164="","",IF(J164&lt;&gt;"정상","비용 설정 필요",SUMIFS('3_채널별_비용설정'!$F$6:$F$55,'3_채널별_비용설정'!$C$6:$C$55,D164,'3_채널별_비용설정'!$D$6:$D$55,"&lt;="&amp;B164,'3_채널별_비용설정'!$L$6:$L$55,"&gt;="&amp;B164)))</f>
      </c>
      <c r="L164" s="12" t="str">
        <f>IF(J164="","",IF(J164&lt;&gt;"정상","비용 설정 필요",ROUND(F164*K164,0)))</f>
      </c>
      <c r="M164" s="12" t="str">
        <f>IF(J164="","",IF(J164&lt;&gt;"정상","비용 설정 필요",SUMIFS('3_채널별_비용설정'!$J$6:$J$55,'3_채널별_비용설정'!$C$6:$C$55,D164,'3_채널별_비용설정'!$D$6:$D$55,"&lt;="&amp;B164,'3_채널별_비용설정'!$L$6:$L$55,"&gt;="&amp;B164)))</f>
      </c>
      <c r="N164" s="12" t="str">
        <f>IF(J164="","",IF(J164&lt;&gt;"정상","비용 설정 필요",E164*M164))</f>
      </c>
      <c r="O164" s="12" t="str">
        <f>IF(J164="","",IF(J164&lt;&gt;"정상","비용 설정 필요",G164+L164+N164+H164))</f>
      </c>
      <c r="P164" s="13" t="str">
        <f>IF(J164="","",IF(J164&lt;&gt;"정상","비용 설정 필요",F164-O164))</f>
      </c>
      <c r="Q164" s="14" t="str">
        <f>IF(J164="","",IF(J164&lt;&gt;"정상","비용 설정 필요",IFERROR(P164/F164,0)))</f>
      </c>
    </row>
    <row r="165">
      <c r="B165" s="7"/>
      <c r="C165" s="5"/>
      <c r="D165" s="5"/>
      <c r="E165" s="8"/>
      <c r="F165" s="8"/>
      <c r="G165" s="8"/>
      <c r="H165" s="8"/>
      <c r="I165" s="6"/>
      <c r="J165" s="10" t="str">
        <f>IF(AND(B165="",C165="",D165=""),"",IF(OR(B165="",D165=""),"비용 설정 필요",IF(COUNTIFS('3_채널별_비용설정'!$C$6:$C$55,D165,'3_채널별_비용설정'!$D$6:$D$55,"&lt;="&amp;B165,'3_채널별_비용설정'!$L$6:$L$55,"&gt;="&amp;B165)=0,"비용 설정 필요",IF(COUNTIFS('3_채널별_비용설정'!$C$6:$C$55,D165,'3_채널별_비용설정'!$D$6:$D$55,"&lt;="&amp;B165,'3_채널별_비용설정'!$L$6:$L$55,"&gt;="&amp;B165)&gt;1,"기간 중복 확인","정상"))))</f>
      </c>
      <c r="K165" s="15" t="str">
        <f>IF(J165="","",IF(J165&lt;&gt;"정상","비용 설정 필요",SUMIFS('3_채널별_비용설정'!$F$6:$F$55,'3_채널별_비용설정'!$C$6:$C$55,D165,'3_채널별_비용설정'!$D$6:$D$55,"&lt;="&amp;B165,'3_채널별_비용설정'!$L$6:$L$55,"&gt;="&amp;B165)))</f>
      </c>
      <c r="L165" s="12" t="str">
        <f>IF(J165="","",IF(J165&lt;&gt;"정상","비용 설정 필요",ROUND(F165*K165,0)))</f>
      </c>
      <c r="M165" s="12" t="str">
        <f>IF(J165="","",IF(J165&lt;&gt;"정상","비용 설정 필요",SUMIFS('3_채널별_비용설정'!$J$6:$J$55,'3_채널별_비용설정'!$C$6:$C$55,D165,'3_채널별_비용설정'!$D$6:$D$55,"&lt;="&amp;B165,'3_채널별_비용설정'!$L$6:$L$55,"&gt;="&amp;B165)))</f>
      </c>
      <c r="N165" s="12" t="str">
        <f>IF(J165="","",IF(J165&lt;&gt;"정상","비용 설정 필요",E165*M165))</f>
      </c>
      <c r="O165" s="12" t="str">
        <f>IF(J165="","",IF(J165&lt;&gt;"정상","비용 설정 필요",G165+L165+N165+H165))</f>
      </c>
      <c r="P165" s="13" t="str">
        <f>IF(J165="","",IF(J165&lt;&gt;"정상","비용 설정 필요",F165-O165))</f>
      </c>
      <c r="Q165" s="14" t="str">
        <f>IF(J165="","",IF(J165&lt;&gt;"정상","비용 설정 필요",IFERROR(P165/F165,0)))</f>
      </c>
    </row>
    <row r="166">
      <c r="B166" s="7"/>
      <c r="C166" s="5"/>
      <c r="D166" s="5"/>
      <c r="E166" s="8"/>
      <c r="F166" s="8"/>
      <c r="G166" s="8"/>
      <c r="H166" s="8"/>
      <c r="I166" s="6"/>
      <c r="J166" s="10" t="str">
        <f>IF(AND(B166="",C166="",D166=""),"",IF(OR(B166="",D166=""),"비용 설정 필요",IF(COUNTIFS('3_채널별_비용설정'!$C$6:$C$55,D166,'3_채널별_비용설정'!$D$6:$D$55,"&lt;="&amp;B166,'3_채널별_비용설정'!$L$6:$L$55,"&gt;="&amp;B166)=0,"비용 설정 필요",IF(COUNTIFS('3_채널별_비용설정'!$C$6:$C$55,D166,'3_채널별_비용설정'!$D$6:$D$55,"&lt;="&amp;B166,'3_채널별_비용설정'!$L$6:$L$55,"&gt;="&amp;B166)&gt;1,"기간 중복 확인","정상"))))</f>
      </c>
      <c r="K166" s="15" t="str">
        <f>IF(J166="","",IF(J166&lt;&gt;"정상","비용 설정 필요",SUMIFS('3_채널별_비용설정'!$F$6:$F$55,'3_채널별_비용설정'!$C$6:$C$55,D166,'3_채널별_비용설정'!$D$6:$D$55,"&lt;="&amp;B166,'3_채널별_비용설정'!$L$6:$L$55,"&gt;="&amp;B166)))</f>
      </c>
      <c r="L166" s="12" t="str">
        <f>IF(J166="","",IF(J166&lt;&gt;"정상","비용 설정 필요",ROUND(F166*K166,0)))</f>
      </c>
      <c r="M166" s="12" t="str">
        <f>IF(J166="","",IF(J166&lt;&gt;"정상","비용 설정 필요",SUMIFS('3_채널별_비용설정'!$J$6:$J$55,'3_채널별_비용설정'!$C$6:$C$55,D166,'3_채널별_비용설정'!$D$6:$D$55,"&lt;="&amp;B166,'3_채널별_비용설정'!$L$6:$L$55,"&gt;="&amp;B166)))</f>
      </c>
      <c r="N166" s="12" t="str">
        <f>IF(J166="","",IF(J166&lt;&gt;"정상","비용 설정 필요",E166*M166))</f>
      </c>
      <c r="O166" s="12" t="str">
        <f>IF(J166="","",IF(J166&lt;&gt;"정상","비용 설정 필요",G166+L166+N166+H166))</f>
      </c>
      <c r="P166" s="13" t="str">
        <f>IF(J166="","",IF(J166&lt;&gt;"정상","비용 설정 필요",F166-O166))</f>
      </c>
      <c r="Q166" s="14" t="str">
        <f>IF(J166="","",IF(J166&lt;&gt;"정상","비용 설정 필요",IFERROR(P166/F166,0)))</f>
      </c>
    </row>
    <row r="167">
      <c r="B167" s="7"/>
      <c r="C167" s="5"/>
      <c r="D167" s="5"/>
      <c r="E167" s="8"/>
      <c r="F167" s="8"/>
      <c r="G167" s="8"/>
      <c r="H167" s="8"/>
      <c r="I167" s="6"/>
      <c r="J167" s="10" t="str">
        <f>IF(AND(B167="",C167="",D167=""),"",IF(OR(B167="",D167=""),"비용 설정 필요",IF(COUNTIFS('3_채널별_비용설정'!$C$6:$C$55,D167,'3_채널별_비용설정'!$D$6:$D$55,"&lt;="&amp;B167,'3_채널별_비용설정'!$L$6:$L$55,"&gt;="&amp;B167)=0,"비용 설정 필요",IF(COUNTIFS('3_채널별_비용설정'!$C$6:$C$55,D167,'3_채널별_비용설정'!$D$6:$D$55,"&lt;="&amp;B167,'3_채널별_비용설정'!$L$6:$L$55,"&gt;="&amp;B167)&gt;1,"기간 중복 확인","정상"))))</f>
      </c>
      <c r="K167" s="15" t="str">
        <f>IF(J167="","",IF(J167&lt;&gt;"정상","비용 설정 필요",SUMIFS('3_채널별_비용설정'!$F$6:$F$55,'3_채널별_비용설정'!$C$6:$C$55,D167,'3_채널별_비용설정'!$D$6:$D$55,"&lt;="&amp;B167,'3_채널별_비용설정'!$L$6:$L$55,"&gt;="&amp;B167)))</f>
      </c>
      <c r="L167" s="12" t="str">
        <f>IF(J167="","",IF(J167&lt;&gt;"정상","비용 설정 필요",ROUND(F167*K167,0)))</f>
      </c>
      <c r="M167" s="12" t="str">
        <f>IF(J167="","",IF(J167&lt;&gt;"정상","비용 설정 필요",SUMIFS('3_채널별_비용설정'!$J$6:$J$55,'3_채널별_비용설정'!$C$6:$C$55,D167,'3_채널별_비용설정'!$D$6:$D$55,"&lt;="&amp;B167,'3_채널별_비용설정'!$L$6:$L$55,"&gt;="&amp;B167)))</f>
      </c>
      <c r="N167" s="12" t="str">
        <f>IF(J167="","",IF(J167&lt;&gt;"정상","비용 설정 필요",E167*M167))</f>
      </c>
      <c r="O167" s="12" t="str">
        <f>IF(J167="","",IF(J167&lt;&gt;"정상","비용 설정 필요",G167+L167+N167+H167))</f>
      </c>
      <c r="P167" s="13" t="str">
        <f>IF(J167="","",IF(J167&lt;&gt;"정상","비용 설정 필요",F167-O167))</f>
      </c>
      <c r="Q167" s="14" t="str">
        <f>IF(J167="","",IF(J167&lt;&gt;"정상","비용 설정 필요",IFERROR(P167/F167,0)))</f>
      </c>
    </row>
    <row r="168">
      <c r="B168" s="7"/>
      <c r="C168" s="5"/>
      <c r="D168" s="5"/>
      <c r="E168" s="8"/>
      <c r="F168" s="8"/>
      <c r="G168" s="8"/>
      <c r="H168" s="8"/>
      <c r="I168" s="6"/>
      <c r="J168" s="10" t="str">
        <f>IF(AND(B168="",C168="",D168=""),"",IF(OR(B168="",D168=""),"비용 설정 필요",IF(COUNTIFS('3_채널별_비용설정'!$C$6:$C$55,D168,'3_채널별_비용설정'!$D$6:$D$55,"&lt;="&amp;B168,'3_채널별_비용설정'!$L$6:$L$55,"&gt;="&amp;B168)=0,"비용 설정 필요",IF(COUNTIFS('3_채널별_비용설정'!$C$6:$C$55,D168,'3_채널별_비용설정'!$D$6:$D$55,"&lt;="&amp;B168,'3_채널별_비용설정'!$L$6:$L$55,"&gt;="&amp;B168)&gt;1,"기간 중복 확인","정상"))))</f>
      </c>
      <c r="K168" s="15" t="str">
        <f>IF(J168="","",IF(J168&lt;&gt;"정상","비용 설정 필요",SUMIFS('3_채널별_비용설정'!$F$6:$F$55,'3_채널별_비용설정'!$C$6:$C$55,D168,'3_채널별_비용설정'!$D$6:$D$55,"&lt;="&amp;B168,'3_채널별_비용설정'!$L$6:$L$55,"&gt;="&amp;B168)))</f>
      </c>
      <c r="L168" s="12" t="str">
        <f>IF(J168="","",IF(J168&lt;&gt;"정상","비용 설정 필요",ROUND(F168*K168,0)))</f>
      </c>
      <c r="M168" s="12" t="str">
        <f>IF(J168="","",IF(J168&lt;&gt;"정상","비용 설정 필요",SUMIFS('3_채널별_비용설정'!$J$6:$J$55,'3_채널별_비용설정'!$C$6:$C$55,D168,'3_채널별_비용설정'!$D$6:$D$55,"&lt;="&amp;B168,'3_채널별_비용설정'!$L$6:$L$55,"&gt;="&amp;B168)))</f>
      </c>
      <c r="N168" s="12" t="str">
        <f>IF(J168="","",IF(J168&lt;&gt;"정상","비용 설정 필요",E168*M168))</f>
      </c>
      <c r="O168" s="12" t="str">
        <f>IF(J168="","",IF(J168&lt;&gt;"정상","비용 설정 필요",G168+L168+N168+H168))</f>
      </c>
      <c r="P168" s="13" t="str">
        <f>IF(J168="","",IF(J168&lt;&gt;"정상","비용 설정 필요",F168-O168))</f>
      </c>
      <c r="Q168" s="14" t="str">
        <f>IF(J168="","",IF(J168&lt;&gt;"정상","비용 설정 필요",IFERROR(P168/F168,0)))</f>
      </c>
    </row>
    <row r="169">
      <c r="B169" s="7"/>
      <c r="C169" s="5"/>
      <c r="D169" s="5"/>
      <c r="E169" s="8"/>
      <c r="F169" s="8"/>
      <c r="G169" s="8"/>
      <c r="H169" s="8"/>
      <c r="I169" s="6"/>
      <c r="J169" s="10" t="str">
        <f>IF(AND(B169="",C169="",D169=""),"",IF(OR(B169="",D169=""),"비용 설정 필요",IF(COUNTIFS('3_채널별_비용설정'!$C$6:$C$55,D169,'3_채널별_비용설정'!$D$6:$D$55,"&lt;="&amp;B169,'3_채널별_비용설정'!$L$6:$L$55,"&gt;="&amp;B169)=0,"비용 설정 필요",IF(COUNTIFS('3_채널별_비용설정'!$C$6:$C$55,D169,'3_채널별_비용설정'!$D$6:$D$55,"&lt;="&amp;B169,'3_채널별_비용설정'!$L$6:$L$55,"&gt;="&amp;B169)&gt;1,"기간 중복 확인","정상"))))</f>
      </c>
      <c r="K169" s="15" t="str">
        <f>IF(J169="","",IF(J169&lt;&gt;"정상","비용 설정 필요",SUMIFS('3_채널별_비용설정'!$F$6:$F$55,'3_채널별_비용설정'!$C$6:$C$55,D169,'3_채널별_비용설정'!$D$6:$D$55,"&lt;="&amp;B169,'3_채널별_비용설정'!$L$6:$L$55,"&gt;="&amp;B169)))</f>
      </c>
      <c r="L169" s="12" t="str">
        <f>IF(J169="","",IF(J169&lt;&gt;"정상","비용 설정 필요",ROUND(F169*K169,0)))</f>
      </c>
      <c r="M169" s="12" t="str">
        <f>IF(J169="","",IF(J169&lt;&gt;"정상","비용 설정 필요",SUMIFS('3_채널별_비용설정'!$J$6:$J$55,'3_채널별_비용설정'!$C$6:$C$55,D169,'3_채널별_비용설정'!$D$6:$D$55,"&lt;="&amp;B169,'3_채널별_비용설정'!$L$6:$L$55,"&gt;="&amp;B169)))</f>
      </c>
      <c r="N169" s="12" t="str">
        <f>IF(J169="","",IF(J169&lt;&gt;"정상","비용 설정 필요",E169*M169))</f>
      </c>
      <c r="O169" s="12" t="str">
        <f>IF(J169="","",IF(J169&lt;&gt;"정상","비용 설정 필요",G169+L169+N169+H169))</f>
      </c>
      <c r="P169" s="13" t="str">
        <f>IF(J169="","",IF(J169&lt;&gt;"정상","비용 설정 필요",F169-O169))</f>
      </c>
      <c r="Q169" s="14" t="str">
        <f>IF(J169="","",IF(J169&lt;&gt;"정상","비용 설정 필요",IFERROR(P169/F169,0)))</f>
      </c>
    </row>
    <row r="170">
      <c r="B170" s="7"/>
      <c r="C170" s="5"/>
      <c r="D170" s="5"/>
      <c r="E170" s="8"/>
      <c r="F170" s="8"/>
      <c r="G170" s="8"/>
      <c r="H170" s="8"/>
      <c r="I170" s="6"/>
      <c r="J170" s="10" t="str">
        <f>IF(AND(B170="",C170="",D170=""),"",IF(OR(B170="",D170=""),"비용 설정 필요",IF(COUNTIFS('3_채널별_비용설정'!$C$6:$C$55,D170,'3_채널별_비용설정'!$D$6:$D$55,"&lt;="&amp;B170,'3_채널별_비용설정'!$L$6:$L$55,"&gt;="&amp;B170)=0,"비용 설정 필요",IF(COUNTIFS('3_채널별_비용설정'!$C$6:$C$55,D170,'3_채널별_비용설정'!$D$6:$D$55,"&lt;="&amp;B170,'3_채널별_비용설정'!$L$6:$L$55,"&gt;="&amp;B170)&gt;1,"기간 중복 확인","정상"))))</f>
      </c>
      <c r="K170" s="15" t="str">
        <f>IF(J170="","",IF(J170&lt;&gt;"정상","비용 설정 필요",SUMIFS('3_채널별_비용설정'!$F$6:$F$55,'3_채널별_비용설정'!$C$6:$C$55,D170,'3_채널별_비용설정'!$D$6:$D$55,"&lt;="&amp;B170,'3_채널별_비용설정'!$L$6:$L$55,"&gt;="&amp;B170)))</f>
      </c>
      <c r="L170" s="12" t="str">
        <f>IF(J170="","",IF(J170&lt;&gt;"정상","비용 설정 필요",ROUND(F170*K170,0)))</f>
      </c>
      <c r="M170" s="12" t="str">
        <f>IF(J170="","",IF(J170&lt;&gt;"정상","비용 설정 필요",SUMIFS('3_채널별_비용설정'!$J$6:$J$55,'3_채널별_비용설정'!$C$6:$C$55,D170,'3_채널별_비용설정'!$D$6:$D$55,"&lt;="&amp;B170,'3_채널별_비용설정'!$L$6:$L$55,"&gt;="&amp;B170)))</f>
      </c>
      <c r="N170" s="12" t="str">
        <f>IF(J170="","",IF(J170&lt;&gt;"정상","비용 설정 필요",E170*M170))</f>
      </c>
      <c r="O170" s="12" t="str">
        <f>IF(J170="","",IF(J170&lt;&gt;"정상","비용 설정 필요",G170+L170+N170+H170))</f>
      </c>
      <c r="P170" s="13" t="str">
        <f>IF(J170="","",IF(J170&lt;&gt;"정상","비용 설정 필요",F170-O170))</f>
      </c>
      <c r="Q170" s="14" t="str">
        <f>IF(J170="","",IF(J170&lt;&gt;"정상","비용 설정 필요",IFERROR(P170/F170,0)))</f>
      </c>
    </row>
    <row r="171">
      <c r="B171" s="7"/>
      <c r="C171" s="5"/>
      <c r="D171" s="5"/>
      <c r="E171" s="8"/>
      <c r="F171" s="8"/>
      <c r="G171" s="8"/>
      <c r="H171" s="8"/>
      <c r="I171" s="6"/>
      <c r="J171" s="10" t="str">
        <f>IF(AND(B171="",C171="",D171=""),"",IF(OR(B171="",D171=""),"비용 설정 필요",IF(COUNTIFS('3_채널별_비용설정'!$C$6:$C$55,D171,'3_채널별_비용설정'!$D$6:$D$55,"&lt;="&amp;B171,'3_채널별_비용설정'!$L$6:$L$55,"&gt;="&amp;B171)=0,"비용 설정 필요",IF(COUNTIFS('3_채널별_비용설정'!$C$6:$C$55,D171,'3_채널별_비용설정'!$D$6:$D$55,"&lt;="&amp;B171,'3_채널별_비용설정'!$L$6:$L$55,"&gt;="&amp;B171)&gt;1,"기간 중복 확인","정상"))))</f>
      </c>
      <c r="K171" s="15" t="str">
        <f>IF(J171="","",IF(J171&lt;&gt;"정상","비용 설정 필요",SUMIFS('3_채널별_비용설정'!$F$6:$F$55,'3_채널별_비용설정'!$C$6:$C$55,D171,'3_채널별_비용설정'!$D$6:$D$55,"&lt;="&amp;B171,'3_채널별_비용설정'!$L$6:$L$55,"&gt;="&amp;B171)))</f>
      </c>
      <c r="L171" s="12" t="str">
        <f>IF(J171="","",IF(J171&lt;&gt;"정상","비용 설정 필요",ROUND(F171*K171,0)))</f>
      </c>
      <c r="M171" s="12" t="str">
        <f>IF(J171="","",IF(J171&lt;&gt;"정상","비용 설정 필요",SUMIFS('3_채널별_비용설정'!$J$6:$J$55,'3_채널별_비용설정'!$C$6:$C$55,D171,'3_채널별_비용설정'!$D$6:$D$55,"&lt;="&amp;B171,'3_채널별_비용설정'!$L$6:$L$55,"&gt;="&amp;B171)))</f>
      </c>
      <c r="N171" s="12" t="str">
        <f>IF(J171="","",IF(J171&lt;&gt;"정상","비용 설정 필요",E171*M171))</f>
      </c>
      <c r="O171" s="12" t="str">
        <f>IF(J171="","",IF(J171&lt;&gt;"정상","비용 설정 필요",G171+L171+N171+H171))</f>
      </c>
      <c r="P171" s="13" t="str">
        <f>IF(J171="","",IF(J171&lt;&gt;"정상","비용 설정 필요",F171-O171))</f>
      </c>
      <c r="Q171" s="14" t="str">
        <f>IF(J171="","",IF(J171&lt;&gt;"정상","비용 설정 필요",IFERROR(P171/F171,0)))</f>
      </c>
    </row>
    <row r="172">
      <c r="B172" s="7"/>
      <c r="C172" s="5"/>
      <c r="D172" s="5"/>
      <c r="E172" s="8"/>
      <c r="F172" s="8"/>
      <c r="G172" s="8"/>
      <c r="H172" s="8"/>
      <c r="I172" s="6"/>
      <c r="J172" s="10" t="str">
        <f>IF(AND(B172="",C172="",D172=""),"",IF(OR(B172="",D172=""),"비용 설정 필요",IF(COUNTIFS('3_채널별_비용설정'!$C$6:$C$55,D172,'3_채널별_비용설정'!$D$6:$D$55,"&lt;="&amp;B172,'3_채널별_비용설정'!$L$6:$L$55,"&gt;="&amp;B172)=0,"비용 설정 필요",IF(COUNTIFS('3_채널별_비용설정'!$C$6:$C$55,D172,'3_채널별_비용설정'!$D$6:$D$55,"&lt;="&amp;B172,'3_채널별_비용설정'!$L$6:$L$55,"&gt;="&amp;B172)&gt;1,"기간 중복 확인","정상"))))</f>
      </c>
      <c r="K172" s="15" t="str">
        <f>IF(J172="","",IF(J172&lt;&gt;"정상","비용 설정 필요",SUMIFS('3_채널별_비용설정'!$F$6:$F$55,'3_채널별_비용설정'!$C$6:$C$55,D172,'3_채널별_비용설정'!$D$6:$D$55,"&lt;="&amp;B172,'3_채널별_비용설정'!$L$6:$L$55,"&gt;="&amp;B172)))</f>
      </c>
      <c r="L172" s="12" t="str">
        <f>IF(J172="","",IF(J172&lt;&gt;"정상","비용 설정 필요",ROUND(F172*K172,0)))</f>
      </c>
      <c r="M172" s="12" t="str">
        <f>IF(J172="","",IF(J172&lt;&gt;"정상","비용 설정 필요",SUMIFS('3_채널별_비용설정'!$J$6:$J$55,'3_채널별_비용설정'!$C$6:$C$55,D172,'3_채널별_비용설정'!$D$6:$D$55,"&lt;="&amp;B172,'3_채널별_비용설정'!$L$6:$L$55,"&gt;="&amp;B172)))</f>
      </c>
      <c r="N172" s="12" t="str">
        <f>IF(J172="","",IF(J172&lt;&gt;"정상","비용 설정 필요",E172*M172))</f>
      </c>
      <c r="O172" s="12" t="str">
        <f>IF(J172="","",IF(J172&lt;&gt;"정상","비용 설정 필요",G172+L172+N172+H172))</f>
      </c>
      <c r="P172" s="13" t="str">
        <f>IF(J172="","",IF(J172&lt;&gt;"정상","비용 설정 필요",F172-O172))</f>
      </c>
      <c r="Q172" s="14" t="str">
        <f>IF(J172="","",IF(J172&lt;&gt;"정상","비용 설정 필요",IFERROR(P172/F172,0)))</f>
      </c>
    </row>
    <row r="173">
      <c r="B173" s="7"/>
      <c r="C173" s="5"/>
      <c r="D173" s="5"/>
      <c r="E173" s="8"/>
      <c r="F173" s="8"/>
      <c r="G173" s="8"/>
      <c r="H173" s="8"/>
      <c r="I173" s="6"/>
      <c r="J173" s="10" t="str">
        <f>IF(AND(B173="",C173="",D173=""),"",IF(OR(B173="",D173=""),"비용 설정 필요",IF(COUNTIFS('3_채널별_비용설정'!$C$6:$C$55,D173,'3_채널별_비용설정'!$D$6:$D$55,"&lt;="&amp;B173,'3_채널별_비용설정'!$L$6:$L$55,"&gt;="&amp;B173)=0,"비용 설정 필요",IF(COUNTIFS('3_채널별_비용설정'!$C$6:$C$55,D173,'3_채널별_비용설정'!$D$6:$D$55,"&lt;="&amp;B173,'3_채널별_비용설정'!$L$6:$L$55,"&gt;="&amp;B173)&gt;1,"기간 중복 확인","정상"))))</f>
      </c>
      <c r="K173" s="15" t="str">
        <f>IF(J173="","",IF(J173&lt;&gt;"정상","비용 설정 필요",SUMIFS('3_채널별_비용설정'!$F$6:$F$55,'3_채널별_비용설정'!$C$6:$C$55,D173,'3_채널별_비용설정'!$D$6:$D$55,"&lt;="&amp;B173,'3_채널별_비용설정'!$L$6:$L$55,"&gt;="&amp;B173)))</f>
      </c>
      <c r="L173" s="12" t="str">
        <f>IF(J173="","",IF(J173&lt;&gt;"정상","비용 설정 필요",ROUND(F173*K173,0)))</f>
      </c>
      <c r="M173" s="12" t="str">
        <f>IF(J173="","",IF(J173&lt;&gt;"정상","비용 설정 필요",SUMIFS('3_채널별_비용설정'!$J$6:$J$55,'3_채널별_비용설정'!$C$6:$C$55,D173,'3_채널별_비용설정'!$D$6:$D$55,"&lt;="&amp;B173,'3_채널별_비용설정'!$L$6:$L$55,"&gt;="&amp;B173)))</f>
      </c>
      <c r="N173" s="12" t="str">
        <f>IF(J173="","",IF(J173&lt;&gt;"정상","비용 설정 필요",E173*M173))</f>
      </c>
      <c r="O173" s="12" t="str">
        <f>IF(J173="","",IF(J173&lt;&gt;"정상","비용 설정 필요",G173+L173+N173+H173))</f>
      </c>
      <c r="P173" s="13" t="str">
        <f>IF(J173="","",IF(J173&lt;&gt;"정상","비용 설정 필요",F173-O173))</f>
      </c>
      <c r="Q173" s="14" t="str">
        <f>IF(J173="","",IF(J173&lt;&gt;"정상","비용 설정 필요",IFERROR(P173/F173,0)))</f>
      </c>
    </row>
    <row r="174">
      <c r="B174" s="7"/>
      <c r="C174" s="5"/>
      <c r="D174" s="5"/>
      <c r="E174" s="8"/>
      <c r="F174" s="8"/>
      <c r="G174" s="8"/>
      <c r="H174" s="8"/>
      <c r="I174" s="6"/>
      <c r="J174" s="10" t="str">
        <f>IF(AND(B174="",C174="",D174=""),"",IF(OR(B174="",D174=""),"비용 설정 필요",IF(COUNTIFS('3_채널별_비용설정'!$C$6:$C$55,D174,'3_채널별_비용설정'!$D$6:$D$55,"&lt;="&amp;B174,'3_채널별_비용설정'!$L$6:$L$55,"&gt;="&amp;B174)=0,"비용 설정 필요",IF(COUNTIFS('3_채널별_비용설정'!$C$6:$C$55,D174,'3_채널별_비용설정'!$D$6:$D$55,"&lt;="&amp;B174,'3_채널별_비용설정'!$L$6:$L$55,"&gt;="&amp;B174)&gt;1,"기간 중복 확인","정상"))))</f>
      </c>
      <c r="K174" s="15" t="str">
        <f>IF(J174="","",IF(J174&lt;&gt;"정상","비용 설정 필요",SUMIFS('3_채널별_비용설정'!$F$6:$F$55,'3_채널별_비용설정'!$C$6:$C$55,D174,'3_채널별_비용설정'!$D$6:$D$55,"&lt;="&amp;B174,'3_채널별_비용설정'!$L$6:$L$55,"&gt;="&amp;B174)))</f>
      </c>
      <c r="L174" s="12" t="str">
        <f>IF(J174="","",IF(J174&lt;&gt;"정상","비용 설정 필요",ROUND(F174*K174,0)))</f>
      </c>
      <c r="M174" s="12" t="str">
        <f>IF(J174="","",IF(J174&lt;&gt;"정상","비용 설정 필요",SUMIFS('3_채널별_비용설정'!$J$6:$J$55,'3_채널별_비용설정'!$C$6:$C$55,D174,'3_채널별_비용설정'!$D$6:$D$55,"&lt;="&amp;B174,'3_채널별_비용설정'!$L$6:$L$55,"&gt;="&amp;B174)))</f>
      </c>
      <c r="N174" s="12" t="str">
        <f>IF(J174="","",IF(J174&lt;&gt;"정상","비용 설정 필요",E174*M174))</f>
      </c>
      <c r="O174" s="12" t="str">
        <f>IF(J174="","",IF(J174&lt;&gt;"정상","비용 설정 필요",G174+L174+N174+H174))</f>
      </c>
      <c r="P174" s="13" t="str">
        <f>IF(J174="","",IF(J174&lt;&gt;"정상","비용 설정 필요",F174-O174))</f>
      </c>
      <c r="Q174" s="14" t="str">
        <f>IF(J174="","",IF(J174&lt;&gt;"정상","비용 설정 필요",IFERROR(P174/F174,0)))</f>
      </c>
    </row>
    <row r="175">
      <c r="B175" s="7"/>
      <c r="C175" s="5"/>
      <c r="D175" s="5"/>
      <c r="E175" s="8"/>
      <c r="F175" s="8"/>
      <c r="G175" s="8"/>
      <c r="H175" s="8"/>
      <c r="I175" s="6"/>
      <c r="J175" s="10" t="str">
        <f>IF(AND(B175="",C175="",D175=""),"",IF(OR(B175="",D175=""),"비용 설정 필요",IF(COUNTIFS('3_채널별_비용설정'!$C$6:$C$55,D175,'3_채널별_비용설정'!$D$6:$D$55,"&lt;="&amp;B175,'3_채널별_비용설정'!$L$6:$L$55,"&gt;="&amp;B175)=0,"비용 설정 필요",IF(COUNTIFS('3_채널별_비용설정'!$C$6:$C$55,D175,'3_채널별_비용설정'!$D$6:$D$55,"&lt;="&amp;B175,'3_채널별_비용설정'!$L$6:$L$55,"&gt;="&amp;B175)&gt;1,"기간 중복 확인","정상"))))</f>
      </c>
      <c r="K175" s="15" t="str">
        <f>IF(J175="","",IF(J175&lt;&gt;"정상","비용 설정 필요",SUMIFS('3_채널별_비용설정'!$F$6:$F$55,'3_채널별_비용설정'!$C$6:$C$55,D175,'3_채널별_비용설정'!$D$6:$D$55,"&lt;="&amp;B175,'3_채널별_비용설정'!$L$6:$L$55,"&gt;="&amp;B175)))</f>
      </c>
      <c r="L175" s="12" t="str">
        <f>IF(J175="","",IF(J175&lt;&gt;"정상","비용 설정 필요",ROUND(F175*K175,0)))</f>
      </c>
      <c r="M175" s="12" t="str">
        <f>IF(J175="","",IF(J175&lt;&gt;"정상","비용 설정 필요",SUMIFS('3_채널별_비용설정'!$J$6:$J$55,'3_채널별_비용설정'!$C$6:$C$55,D175,'3_채널별_비용설정'!$D$6:$D$55,"&lt;="&amp;B175,'3_채널별_비용설정'!$L$6:$L$55,"&gt;="&amp;B175)))</f>
      </c>
      <c r="N175" s="12" t="str">
        <f>IF(J175="","",IF(J175&lt;&gt;"정상","비용 설정 필요",E175*M175))</f>
      </c>
      <c r="O175" s="12" t="str">
        <f>IF(J175="","",IF(J175&lt;&gt;"정상","비용 설정 필요",G175+L175+N175+H175))</f>
      </c>
      <c r="P175" s="13" t="str">
        <f>IF(J175="","",IF(J175&lt;&gt;"정상","비용 설정 필요",F175-O175))</f>
      </c>
      <c r="Q175" s="14" t="str">
        <f>IF(J175="","",IF(J175&lt;&gt;"정상","비용 설정 필요",IFERROR(P175/F175,0)))</f>
      </c>
    </row>
    <row r="176">
      <c r="B176" s="7"/>
      <c r="C176" s="5"/>
      <c r="D176" s="5"/>
      <c r="E176" s="8"/>
      <c r="F176" s="8"/>
      <c r="G176" s="8"/>
      <c r="H176" s="8"/>
      <c r="I176" s="6"/>
      <c r="J176" s="10" t="str">
        <f>IF(AND(B176="",C176="",D176=""),"",IF(OR(B176="",D176=""),"비용 설정 필요",IF(COUNTIFS('3_채널별_비용설정'!$C$6:$C$55,D176,'3_채널별_비용설정'!$D$6:$D$55,"&lt;="&amp;B176,'3_채널별_비용설정'!$L$6:$L$55,"&gt;="&amp;B176)=0,"비용 설정 필요",IF(COUNTIFS('3_채널별_비용설정'!$C$6:$C$55,D176,'3_채널별_비용설정'!$D$6:$D$55,"&lt;="&amp;B176,'3_채널별_비용설정'!$L$6:$L$55,"&gt;="&amp;B176)&gt;1,"기간 중복 확인","정상"))))</f>
      </c>
      <c r="K176" s="15" t="str">
        <f>IF(J176="","",IF(J176&lt;&gt;"정상","비용 설정 필요",SUMIFS('3_채널별_비용설정'!$F$6:$F$55,'3_채널별_비용설정'!$C$6:$C$55,D176,'3_채널별_비용설정'!$D$6:$D$55,"&lt;="&amp;B176,'3_채널별_비용설정'!$L$6:$L$55,"&gt;="&amp;B176)))</f>
      </c>
      <c r="L176" s="12" t="str">
        <f>IF(J176="","",IF(J176&lt;&gt;"정상","비용 설정 필요",ROUND(F176*K176,0)))</f>
      </c>
      <c r="M176" s="12" t="str">
        <f>IF(J176="","",IF(J176&lt;&gt;"정상","비용 설정 필요",SUMIFS('3_채널별_비용설정'!$J$6:$J$55,'3_채널별_비용설정'!$C$6:$C$55,D176,'3_채널별_비용설정'!$D$6:$D$55,"&lt;="&amp;B176,'3_채널별_비용설정'!$L$6:$L$55,"&gt;="&amp;B176)))</f>
      </c>
      <c r="N176" s="12" t="str">
        <f>IF(J176="","",IF(J176&lt;&gt;"정상","비용 설정 필요",E176*M176))</f>
      </c>
      <c r="O176" s="12" t="str">
        <f>IF(J176="","",IF(J176&lt;&gt;"정상","비용 설정 필요",G176+L176+N176+H176))</f>
      </c>
      <c r="P176" s="13" t="str">
        <f>IF(J176="","",IF(J176&lt;&gt;"정상","비용 설정 필요",F176-O176))</f>
      </c>
      <c r="Q176" s="14" t="str">
        <f>IF(J176="","",IF(J176&lt;&gt;"정상","비용 설정 필요",IFERROR(P176/F176,0)))</f>
      </c>
    </row>
    <row r="177">
      <c r="B177" s="7"/>
      <c r="C177" s="5"/>
      <c r="D177" s="5"/>
      <c r="E177" s="8"/>
      <c r="F177" s="8"/>
      <c r="G177" s="8"/>
      <c r="H177" s="8"/>
      <c r="I177" s="6"/>
      <c r="J177" s="10" t="str">
        <f>IF(AND(B177="",C177="",D177=""),"",IF(OR(B177="",D177=""),"비용 설정 필요",IF(COUNTIFS('3_채널별_비용설정'!$C$6:$C$55,D177,'3_채널별_비용설정'!$D$6:$D$55,"&lt;="&amp;B177,'3_채널별_비용설정'!$L$6:$L$55,"&gt;="&amp;B177)=0,"비용 설정 필요",IF(COUNTIFS('3_채널별_비용설정'!$C$6:$C$55,D177,'3_채널별_비용설정'!$D$6:$D$55,"&lt;="&amp;B177,'3_채널별_비용설정'!$L$6:$L$55,"&gt;="&amp;B177)&gt;1,"기간 중복 확인","정상"))))</f>
      </c>
      <c r="K177" s="15" t="str">
        <f>IF(J177="","",IF(J177&lt;&gt;"정상","비용 설정 필요",SUMIFS('3_채널별_비용설정'!$F$6:$F$55,'3_채널별_비용설정'!$C$6:$C$55,D177,'3_채널별_비용설정'!$D$6:$D$55,"&lt;="&amp;B177,'3_채널별_비용설정'!$L$6:$L$55,"&gt;="&amp;B177)))</f>
      </c>
      <c r="L177" s="12" t="str">
        <f>IF(J177="","",IF(J177&lt;&gt;"정상","비용 설정 필요",ROUND(F177*K177,0)))</f>
      </c>
      <c r="M177" s="12" t="str">
        <f>IF(J177="","",IF(J177&lt;&gt;"정상","비용 설정 필요",SUMIFS('3_채널별_비용설정'!$J$6:$J$55,'3_채널별_비용설정'!$C$6:$C$55,D177,'3_채널별_비용설정'!$D$6:$D$55,"&lt;="&amp;B177,'3_채널별_비용설정'!$L$6:$L$55,"&gt;="&amp;B177)))</f>
      </c>
      <c r="N177" s="12" t="str">
        <f>IF(J177="","",IF(J177&lt;&gt;"정상","비용 설정 필요",E177*M177))</f>
      </c>
      <c r="O177" s="12" t="str">
        <f>IF(J177="","",IF(J177&lt;&gt;"정상","비용 설정 필요",G177+L177+N177+H177))</f>
      </c>
      <c r="P177" s="13" t="str">
        <f>IF(J177="","",IF(J177&lt;&gt;"정상","비용 설정 필요",F177-O177))</f>
      </c>
      <c r="Q177" s="14" t="str">
        <f>IF(J177="","",IF(J177&lt;&gt;"정상","비용 설정 필요",IFERROR(P177/F177,0)))</f>
      </c>
    </row>
    <row r="178">
      <c r="B178" s="7"/>
      <c r="C178" s="5"/>
      <c r="D178" s="5"/>
      <c r="E178" s="8"/>
      <c r="F178" s="8"/>
      <c r="G178" s="8"/>
      <c r="H178" s="8"/>
      <c r="I178" s="6"/>
      <c r="J178" s="10" t="str">
        <f>IF(AND(B178="",C178="",D178=""),"",IF(OR(B178="",D178=""),"비용 설정 필요",IF(COUNTIFS('3_채널별_비용설정'!$C$6:$C$55,D178,'3_채널별_비용설정'!$D$6:$D$55,"&lt;="&amp;B178,'3_채널별_비용설정'!$L$6:$L$55,"&gt;="&amp;B178)=0,"비용 설정 필요",IF(COUNTIFS('3_채널별_비용설정'!$C$6:$C$55,D178,'3_채널별_비용설정'!$D$6:$D$55,"&lt;="&amp;B178,'3_채널별_비용설정'!$L$6:$L$55,"&gt;="&amp;B178)&gt;1,"기간 중복 확인","정상"))))</f>
      </c>
      <c r="K178" s="15" t="str">
        <f>IF(J178="","",IF(J178&lt;&gt;"정상","비용 설정 필요",SUMIFS('3_채널별_비용설정'!$F$6:$F$55,'3_채널별_비용설정'!$C$6:$C$55,D178,'3_채널별_비용설정'!$D$6:$D$55,"&lt;="&amp;B178,'3_채널별_비용설정'!$L$6:$L$55,"&gt;="&amp;B178)))</f>
      </c>
      <c r="L178" s="12" t="str">
        <f>IF(J178="","",IF(J178&lt;&gt;"정상","비용 설정 필요",ROUND(F178*K178,0)))</f>
      </c>
      <c r="M178" s="12" t="str">
        <f>IF(J178="","",IF(J178&lt;&gt;"정상","비용 설정 필요",SUMIFS('3_채널별_비용설정'!$J$6:$J$55,'3_채널별_비용설정'!$C$6:$C$55,D178,'3_채널별_비용설정'!$D$6:$D$55,"&lt;="&amp;B178,'3_채널별_비용설정'!$L$6:$L$55,"&gt;="&amp;B178)))</f>
      </c>
      <c r="N178" s="12" t="str">
        <f>IF(J178="","",IF(J178&lt;&gt;"정상","비용 설정 필요",E178*M178))</f>
      </c>
      <c r="O178" s="12" t="str">
        <f>IF(J178="","",IF(J178&lt;&gt;"정상","비용 설정 필요",G178+L178+N178+H178))</f>
      </c>
      <c r="P178" s="13" t="str">
        <f>IF(J178="","",IF(J178&lt;&gt;"정상","비용 설정 필요",F178-O178))</f>
      </c>
      <c r="Q178" s="14" t="str">
        <f>IF(J178="","",IF(J178&lt;&gt;"정상","비용 설정 필요",IFERROR(P178/F178,0)))</f>
      </c>
    </row>
    <row r="179">
      <c r="B179" s="7"/>
      <c r="C179" s="5"/>
      <c r="D179" s="5"/>
      <c r="E179" s="8"/>
      <c r="F179" s="8"/>
      <c r="G179" s="8"/>
      <c r="H179" s="8"/>
      <c r="I179" s="6"/>
      <c r="J179" s="10" t="str">
        <f>IF(AND(B179="",C179="",D179=""),"",IF(OR(B179="",D179=""),"비용 설정 필요",IF(COUNTIFS('3_채널별_비용설정'!$C$6:$C$55,D179,'3_채널별_비용설정'!$D$6:$D$55,"&lt;="&amp;B179,'3_채널별_비용설정'!$L$6:$L$55,"&gt;="&amp;B179)=0,"비용 설정 필요",IF(COUNTIFS('3_채널별_비용설정'!$C$6:$C$55,D179,'3_채널별_비용설정'!$D$6:$D$55,"&lt;="&amp;B179,'3_채널별_비용설정'!$L$6:$L$55,"&gt;="&amp;B179)&gt;1,"기간 중복 확인","정상"))))</f>
      </c>
      <c r="K179" s="15" t="str">
        <f>IF(J179="","",IF(J179&lt;&gt;"정상","비용 설정 필요",SUMIFS('3_채널별_비용설정'!$F$6:$F$55,'3_채널별_비용설정'!$C$6:$C$55,D179,'3_채널별_비용설정'!$D$6:$D$55,"&lt;="&amp;B179,'3_채널별_비용설정'!$L$6:$L$55,"&gt;="&amp;B179)))</f>
      </c>
      <c r="L179" s="12" t="str">
        <f>IF(J179="","",IF(J179&lt;&gt;"정상","비용 설정 필요",ROUND(F179*K179,0)))</f>
      </c>
      <c r="M179" s="12" t="str">
        <f>IF(J179="","",IF(J179&lt;&gt;"정상","비용 설정 필요",SUMIFS('3_채널별_비용설정'!$J$6:$J$55,'3_채널별_비용설정'!$C$6:$C$55,D179,'3_채널별_비용설정'!$D$6:$D$55,"&lt;="&amp;B179,'3_채널별_비용설정'!$L$6:$L$55,"&gt;="&amp;B179)))</f>
      </c>
      <c r="N179" s="12" t="str">
        <f>IF(J179="","",IF(J179&lt;&gt;"정상","비용 설정 필요",E179*M179))</f>
      </c>
      <c r="O179" s="12" t="str">
        <f>IF(J179="","",IF(J179&lt;&gt;"정상","비용 설정 필요",G179+L179+N179+H179))</f>
      </c>
      <c r="P179" s="13" t="str">
        <f>IF(J179="","",IF(J179&lt;&gt;"정상","비용 설정 필요",F179-O179))</f>
      </c>
      <c r="Q179" s="14" t="str">
        <f>IF(J179="","",IF(J179&lt;&gt;"정상","비용 설정 필요",IFERROR(P179/F179,0)))</f>
      </c>
    </row>
    <row r="180">
      <c r="B180" s="7"/>
      <c r="C180" s="5"/>
      <c r="D180" s="5"/>
      <c r="E180" s="8"/>
      <c r="F180" s="8"/>
      <c r="G180" s="8"/>
      <c r="H180" s="8"/>
      <c r="I180" s="6"/>
      <c r="J180" s="10" t="str">
        <f>IF(AND(B180="",C180="",D180=""),"",IF(OR(B180="",D180=""),"비용 설정 필요",IF(COUNTIFS('3_채널별_비용설정'!$C$6:$C$55,D180,'3_채널별_비용설정'!$D$6:$D$55,"&lt;="&amp;B180,'3_채널별_비용설정'!$L$6:$L$55,"&gt;="&amp;B180)=0,"비용 설정 필요",IF(COUNTIFS('3_채널별_비용설정'!$C$6:$C$55,D180,'3_채널별_비용설정'!$D$6:$D$55,"&lt;="&amp;B180,'3_채널별_비용설정'!$L$6:$L$55,"&gt;="&amp;B180)&gt;1,"기간 중복 확인","정상"))))</f>
      </c>
      <c r="K180" s="15" t="str">
        <f>IF(J180="","",IF(J180&lt;&gt;"정상","비용 설정 필요",SUMIFS('3_채널별_비용설정'!$F$6:$F$55,'3_채널별_비용설정'!$C$6:$C$55,D180,'3_채널별_비용설정'!$D$6:$D$55,"&lt;="&amp;B180,'3_채널별_비용설정'!$L$6:$L$55,"&gt;="&amp;B180)))</f>
      </c>
      <c r="L180" s="12" t="str">
        <f>IF(J180="","",IF(J180&lt;&gt;"정상","비용 설정 필요",ROUND(F180*K180,0)))</f>
      </c>
      <c r="M180" s="12" t="str">
        <f>IF(J180="","",IF(J180&lt;&gt;"정상","비용 설정 필요",SUMIFS('3_채널별_비용설정'!$J$6:$J$55,'3_채널별_비용설정'!$C$6:$C$55,D180,'3_채널별_비용설정'!$D$6:$D$55,"&lt;="&amp;B180,'3_채널별_비용설정'!$L$6:$L$55,"&gt;="&amp;B180)))</f>
      </c>
      <c r="N180" s="12" t="str">
        <f>IF(J180="","",IF(J180&lt;&gt;"정상","비용 설정 필요",E180*M180))</f>
      </c>
      <c r="O180" s="12" t="str">
        <f>IF(J180="","",IF(J180&lt;&gt;"정상","비용 설정 필요",G180+L180+N180+H180))</f>
      </c>
      <c r="P180" s="13" t="str">
        <f>IF(J180="","",IF(J180&lt;&gt;"정상","비용 설정 필요",F180-O180))</f>
      </c>
      <c r="Q180" s="14" t="str">
        <f>IF(J180="","",IF(J180&lt;&gt;"정상","비용 설정 필요",IFERROR(P180/F180,0)))</f>
      </c>
    </row>
    <row r="181">
      <c r="B181" s="7"/>
      <c r="C181" s="5"/>
      <c r="D181" s="5"/>
      <c r="E181" s="8"/>
      <c r="F181" s="8"/>
      <c r="G181" s="8"/>
      <c r="H181" s="8"/>
      <c r="I181" s="6"/>
      <c r="J181" s="10" t="str">
        <f>IF(AND(B181="",C181="",D181=""),"",IF(OR(B181="",D181=""),"비용 설정 필요",IF(COUNTIFS('3_채널별_비용설정'!$C$6:$C$55,D181,'3_채널별_비용설정'!$D$6:$D$55,"&lt;="&amp;B181,'3_채널별_비용설정'!$L$6:$L$55,"&gt;="&amp;B181)=0,"비용 설정 필요",IF(COUNTIFS('3_채널별_비용설정'!$C$6:$C$55,D181,'3_채널별_비용설정'!$D$6:$D$55,"&lt;="&amp;B181,'3_채널별_비용설정'!$L$6:$L$55,"&gt;="&amp;B181)&gt;1,"기간 중복 확인","정상"))))</f>
      </c>
      <c r="K181" s="15" t="str">
        <f>IF(J181="","",IF(J181&lt;&gt;"정상","비용 설정 필요",SUMIFS('3_채널별_비용설정'!$F$6:$F$55,'3_채널별_비용설정'!$C$6:$C$55,D181,'3_채널별_비용설정'!$D$6:$D$55,"&lt;="&amp;B181,'3_채널별_비용설정'!$L$6:$L$55,"&gt;="&amp;B181)))</f>
      </c>
      <c r="L181" s="12" t="str">
        <f>IF(J181="","",IF(J181&lt;&gt;"정상","비용 설정 필요",ROUND(F181*K181,0)))</f>
      </c>
      <c r="M181" s="12" t="str">
        <f>IF(J181="","",IF(J181&lt;&gt;"정상","비용 설정 필요",SUMIFS('3_채널별_비용설정'!$J$6:$J$55,'3_채널별_비용설정'!$C$6:$C$55,D181,'3_채널별_비용설정'!$D$6:$D$55,"&lt;="&amp;B181,'3_채널별_비용설정'!$L$6:$L$55,"&gt;="&amp;B181)))</f>
      </c>
      <c r="N181" s="12" t="str">
        <f>IF(J181="","",IF(J181&lt;&gt;"정상","비용 설정 필요",E181*M181))</f>
      </c>
      <c r="O181" s="12" t="str">
        <f>IF(J181="","",IF(J181&lt;&gt;"정상","비용 설정 필요",G181+L181+N181+H181))</f>
      </c>
      <c r="P181" s="13" t="str">
        <f>IF(J181="","",IF(J181&lt;&gt;"정상","비용 설정 필요",F181-O181))</f>
      </c>
      <c r="Q181" s="14" t="str">
        <f>IF(J181="","",IF(J181&lt;&gt;"정상","비용 설정 필요",IFERROR(P181/F181,0)))</f>
      </c>
    </row>
    <row r="182">
      <c r="B182" s="7"/>
      <c r="C182" s="5"/>
      <c r="D182" s="5"/>
      <c r="E182" s="8"/>
      <c r="F182" s="8"/>
      <c r="G182" s="8"/>
      <c r="H182" s="8"/>
      <c r="I182" s="6"/>
      <c r="J182" s="10" t="str">
        <f>IF(AND(B182="",C182="",D182=""),"",IF(OR(B182="",D182=""),"비용 설정 필요",IF(COUNTIFS('3_채널별_비용설정'!$C$6:$C$55,D182,'3_채널별_비용설정'!$D$6:$D$55,"&lt;="&amp;B182,'3_채널별_비용설정'!$L$6:$L$55,"&gt;="&amp;B182)=0,"비용 설정 필요",IF(COUNTIFS('3_채널별_비용설정'!$C$6:$C$55,D182,'3_채널별_비용설정'!$D$6:$D$55,"&lt;="&amp;B182,'3_채널별_비용설정'!$L$6:$L$55,"&gt;="&amp;B182)&gt;1,"기간 중복 확인","정상"))))</f>
      </c>
      <c r="K182" s="15" t="str">
        <f>IF(J182="","",IF(J182&lt;&gt;"정상","비용 설정 필요",SUMIFS('3_채널별_비용설정'!$F$6:$F$55,'3_채널별_비용설정'!$C$6:$C$55,D182,'3_채널별_비용설정'!$D$6:$D$55,"&lt;="&amp;B182,'3_채널별_비용설정'!$L$6:$L$55,"&gt;="&amp;B182)))</f>
      </c>
      <c r="L182" s="12" t="str">
        <f>IF(J182="","",IF(J182&lt;&gt;"정상","비용 설정 필요",ROUND(F182*K182,0)))</f>
      </c>
      <c r="M182" s="12" t="str">
        <f>IF(J182="","",IF(J182&lt;&gt;"정상","비용 설정 필요",SUMIFS('3_채널별_비용설정'!$J$6:$J$55,'3_채널별_비용설정'!$C$6:$C$55,D182,'3_채널별_비용설정'!$D$6:$D$55,"&lt;="&amp;B182,'3_채널별_비용설정'!$L$6:$L$55,"&gt;="&amp;B182)))</f>
      </c>
      <c r="N182" s="12" t="str">
        <f>IF(J182="","",IF(J182&lt;&gt;"정상","비용 설정 필요",E182*M182))</f>
      </c>
      <c r="O182" s="12" t="str">
        <f>IF(J182="","",IF(J182&lt;&gt;"정상","비용 설정 필요",G182+L182+N182+H182))</f>
      </c>
      <c r="P182" s="13" t="str">
        <f>IF(J182="","",IF(J182&lt;&gt;"정상","비용 설정 필요",F182-O182))</f>
      </c>
      <c r="Q182" s="14" t="str">
        <f>IF(J182="","",IF(J182&lt;&gt;"정상","비용 설정 필요",IFERROR(P182/F182,0)))</f>
      </c>
    </row>
    <row r="183">
      <c r="B183" s="7"/>
      <c r="C183" s="5"/>
      <c r="D183" s="5"/>
      <c r="E183" s="8"/>
      <c r="F183" s="8"/>
      <c r="G183" s="8"/>
      <c r="H183" s="8"/>
      <c r="I183" s="6"/>
      <c r="J183" s="10" t="str">
        <f>IF(AND(B183="",C183="",D183=""),"",IF(OR(B183="",D183=""),"비용 설정 필요",IF(COUNTIFS('3_채널별_비용설정'!$C$6:$C$55,D183,'3_채널별_비용설정'!$D$6:$D$55,"&lt;="&amp;B183,'3_채널별_비용설정'!$L$6:$L$55,"&gt;="&amp;B183)=0,"비용 설정 필요",IF(COUNTIFS('3_채널별_비용설정'!$C$6:$C$55,D183,'3_채널별_비용설정'!$D$6:$D$55,"&lt;="&amp;B183,'3_채널별_비용설정'!$L$6:$L$55,"&gt;="&amp;B183)&gt;1,"기간 중복 확인","정상"))))</f>
      </c>
      <c r="K183" s="15" t="str">
        <f>IF(J183="","",IF(J183&lt;&gt;"정상","비용 설정 필요",SUMIFS('3_채널별_비용설정'!$F$6:$F$55,'3_채널별_비용설정'!$C$6:$C$55,D183,'3_채널별_비용설정'!$D$6:$D$55,"&lt;="&amp;B183,'3_채널별_비용설정'!$L$6:$L$55,"&gt;="&amp;B183)))</f>
      </c>
      <c r="L183" s="12" t="str">
        <f>IF(J183="","",IF(J183&lt;&gt;"정상","비용 설정 필요",ROUND(F183*K183,0)))</f>
      </c>
      <c r="M183" s="12" t="str">
        <f>IF(J183="","",IF(J183&lt;&gt;"정상","비용 설정 필요",SUMIFS('3_채널별_비용설정'!$J$6:$J$55,'3_채널별_비용설정'!$C$6:$C$55,D183,'3_채널별_비용설정'!$D$6:$D$55,"&lt;="&amp;B183,'3_채널별_비용설정'!$L$6:$L$55,"&gt;="&amp;B183)))</f>
      </c>
      <c r="N183" s="12" t="str">
        <f>IF(J183="","",IF(J183&lt;&gt;"정상","비용 설정 필요",E183*M183))</f>
      </c>
      <c r="O183" s="12" t="str">
        <f>IF(J183="","",IF(J183&lt;&gt;"정상","비용 설정 필요",G183+L183+N183+H183))</f>
      </c>
      <c r="P183" s="13" t="str">
        <f>IF(J183="","",IF(J183&lt;&gt;"정상","비용 설정 필요",F183-O183))</f>
      </c>
      <c r="Q183" s="14" t="str">
        <f>IF(J183="","",IF(J183&lt;&gt;"정상","비용 설정 필요",IFERROR(P183/F183,0)))</f>
      </c>
    </row>
    <row r="184">
      <c r="B184" s="7"/>
      <c r="C184" s="5"/>
      <c r="D184" s="5"/>
      <c r="E184" s="8"/>
      <c r="F184" s="8"/>
      <c r="G184" s="8"/>
      <c r="H184" s="8"/>
      <c r="I184" s="6"/>
      <c r="J184" s="10" t="str">
        <f>IF(AND(B184="",C184="",D184=""),"",IF(OR(B184="",D184=""),"비용 설정 필요",IF(COUNTIFS('3_채널별_비용설정'!$C$6:$C$55,D184,'3_채널별_비용설정'!$D$6:$D$55,"&lt;="&amp;B184,'3_채널별_비용설정'!$L$6:$L$55,"&gt;="&amp;B184)=0,"비용 설정 필요",IF(COUNTIFS('3_채널별_비용설정'!$C$6:$C$55,D184,'3_채널별_비용설정'!$D$6:$D$55,"&lt;="&amp;B184,'3_채널별_비용설정'!$L$6:$L$55,"&gt;="&amp;B184)&gt;1,"기간 중복 확인","정상"))))</f>
      </c>
      <c r="K184" s="15" t="str">
        <f>IF(J184="","",IF(J184&lt;&gt;"정상","비용 설정 필요",SUMIFS('3_채널별_비용설정'!$F$6:$F$55,'3_채널별_비용설정'!$C$6:$C$55,D184,'3_채널별_비용설정'!$D$6:$D$55,"&lt;="&amp;B184,'3_채널별_비용설정'!$L$6:$L$55,"&gt;="&amp;B184)))</f>
      </c>
      <c r="L184" s="12" t="str">
        <f>IF(J184="","",IF(J184&lt;&gt;"정상","비용 설정 필요",ROUND(F184*K184,0)))</f>
      </c>
      <c r="M184" s="12" t="str">
        <f>IF(J184="","",IF(J184&lt;&gt;"정상","비용 설정 필요",SUMIFS('3_채널별_비용설정'!$J$6:$J$55,'3_채널별_비용설정'!$C$6:$C$55,D184,'3_채널별_비용설정'!$D$6:$D$55,"&lt;="&amp;B184,'3_채널별_비용설정'!$L$6:$L$55,"&gt;="&amp;B184)))</f>
      </c>
      <c r="N184" s="12" t="str">
        <f>IF(J184="","",IF(J184&lt;&gt;"정상","비용 설정 필요",E184*M184))</f>
      </c>
      <c r="O184" s="12" t="str">
        <f>IF(J184="","",IF(J184&lt;&gt;"정상","비용 설정 필요",G184+L184+N184+H184))</f>
      </c>
      <c r="P184" s="13" t="str">
        <f>IF(J184="","",IF(J184&lt;&gt;"정상","비용 설정 필요",F184-O184))</f>
      </c>
      <c r="Q184" s="14" t="str">
        <f>IF(J184="","",IF(J184&lt;&gt;"정상","비용 설정 필요",IFERROR(P184/F184,0)))</f>
      </c>
    </row>
    <row r="185">
      <c r="B185" s="7"/>
      <c r="C185" s="5"/>
      <c r="D185" s="5"/>
      <c r="E185" s="8"/>
      <c r="F185" s="8"/>
      <c r="G185" s="8"/>
      <c r="H185" s="8"/>
      <c r="I185" s="6"/>
      <c r="J185" s="10" t="str">
        <f>IF(AND(B185="",C185="",D185=""),"",IF(OR(B185="",D185=""),"비용 설정 필요",IF(COUNTIFS('3_채널별_비용설정'!$C$6:$C$55,D185,'3_채널별_비용설정'!$D$6:$D$55,"&lt;="&amp;B185,'3_채널별_비용설정'!$L$6:$L$55,"&gt;="&amp;B185)=0,"비용 설정 필요",IF(COUNTIFS('3_채널별_비용설정'!$C$6:$C$55,D185,'3_채널별_비용설정'!$D$6:$D$55,"&lt;="&amp;B185,'3_채널별_비용설정'!$L$6:$L$55,"&gt;="&amp;B185)&gt;1,"기간 중복 확인","정상"))))</f>
      </c>
      <c r="K185" s="15" t="str">
        <f>IF(J185="","",IF(J185&lt;&gt;"정상","비용 설정 필요",SUMIFS('3_채널별_비용설정'!$F$6:$F$55,'3_채널별_비용설정'!$C$6:$C$55,D185,'3_채널별_비용설정'!$D$6:$D$55,"&lt;="&amp;B185,'3_채널별_비용설정'!$L$6:$L$55,"&gt;="&amp;B185)))</f>
      </c>
      <c r="L185" s="12" t="str">
        <f>IF(J185="","",IF(J185&lt;&gt;"정상","비용 설정 필요",ROUND(F185*K185,0)))</f>
      </c>
      <c r="M185" s="12" t="str">
        <f>IF(J185="","",IF(J185&lt;&gt;"정상","비용 설정 필요",SUMIFS('3_채널별_비용설정'!$J$6:$J$55,'3_채널별_비용설정'!$C$6:$C$55,D185,'3_채널별_비용설정'!$D$6:$D$55,"&lt;="&amp;B185,'3_채널별_비용설정'!$L$6:$L$55,"&gt;="&amp;B185)))</f>
      </c>
      <c r="N185" s="12" t="str">
        <f>IF(J185="","",IF(J185&lt;&gt;"정상","비용 설정 필요",E185*M185))</f>
      </c>
      <c r="O185" s="12" t="str">
        <f>IF(J185="","",IF(J185&lt;&gt;"정상","비용 설정 필요",G185+L185+N185+H185))</f>
      </c>
      <c r="P185" s="13" t="str">
        <f>IF(J185="","",IF(J185&lt;&gt;"정상","비용 설정 필요",F185-O185))</f>
      </c>
      <c r="Q185" s="14" t="str">
        <f>IF(J185="","",IF(J185&lt;&gt;"정상","비용 설정 필요",IFERROR(P185/F185,0)))</f>
      </c>
    </row>
    <row r="186">
      <c r="B186" s="7"/>
      <c r="C186" s="5"/>
      <c r="D186" s="5"/>
      <c r="E186" s="8"/>
      <c r="F186" s="8"/>
      <c r="G186" s="8"/>
      <c r="H186" s="8"/>
      <c r="I186" s="6"/>
      <c r="J186" s="10" t="str">
        <f>IF(AND(B186="",C186="",D186=""),"",IF(OR(B186="",D186=""),"비용 설정 필요",IF(COUNTIFS('3_채널별_비용설정'!$C$6:$C$55,D186,'3_채널별_비용설정'!$D$6:$D$55,"&lt;="&amp;B186,'3_채널별_비용설정'!$L$6:$L$55,"&gt;="&amp;B186)=0,"비용 설정 필요",IF(COUNTIFS('3_채널별_비용설정'!$C$6:$C$55,D186,'3_채널별_비용설정'!$D$6:$D$55,"&lt;="&amp;B186,'3_채널별_비용설정'!$L$6:$L$55,"&gt;="&amp;B186)&gt;1,"기간 중복 확인","정상"))))</f>
      </c>
      <c r="K186" s="15" t="str">
        <f>IF(J186="","",IF(J186&lt;&gt;"정상","비용 설정 필요",SUMIFS('3_채널별_비용설정'!$F$6:$F$55,'3_채널별_비용설정'!$C$6:$C$55,D186,'3_채널별_비용설정'!$D$6:$D$55,"&lt;="&amp;B186,'3_채널별_비용설정'!$L$6:$L$55,"&gt;="&amp;B186)))</f>
      </c>
      <c r="L186" s="12" t="str">
        <f>IF(J186="","",IF(J186&lt;&gt;"정상","비용 설정 필요",ROUND(F186*K186,0)))</f>
      </c>
      <c r="M186" s="12" t="str">
        <f>IF(J186="","",IF(J186&lt;&gt;"정상","비용 설정 필요",SUMIFS('3_채널별_비용설정'!$J$6:$J$55,'3_채널별_비용설정'!$C$6:$C$55,D186,'3_채널별_비용설정'!$D$6:$D$55,"&lt;="&amp;B186,'3_채널별_비용설정'!$L$6:$L$55,"&gt;="&amp;B186)))</f>
      </c>
      <c r="N186" s="12" t="str">
        <f>IF(J186="","",IF(J186&lt;&gt;"정상","비용 설정 필요",E186*M186))</f>
      </c>
      <c r="O186" s="12" t="str">
        <f>IF(J186="","",IF(J186&lt;&gt;"정상","비용 설정 필요",G186+L186+N186+H186))</f>
      </c>
      <c r="P186" s="13" t="str">
        <f>IF(J186="","",IF(J186&lt;&gt;"정상","비용 설정 필요",F186-O186))</f>
      </c>
      <c r="Q186" s="14" t="str">
        <f>IF(J186="","",IF(J186&lt;&gt;"정상","비용 설정 필요",IFERROR(P186/F186,0)))</f>
      </c>
    </row>
    <row r="187">
      <c r="B187" s="7"/>
      <c r="C187" s="5"/>
      <c r="D187" s="5"/>
      <c r="E187" s="8"/>
      <c r="F187" s="8"/>
      <c r="G187" s="8"/>
      <c r="H187" s="8"/>
      <c r="I187" s="6"/>
      <c r="J187" s="10" t="str">
        <f>IF(AND(B187="",C187="",D187=""),"",IF(OR(B187="",D187=""),"비용 설정 필요",IF(COUNTIFS('3_채널별_비용설정'!$C$6:$C$55,D187,'3_채널별_비용설정'!$D$6:$D$55,"&lt;="&amp;B187,'3_채널별_비용설정'!$L$6:$L$55,"&gt;="&amp;B187)=0,"비용 설정 필요",IF(COUNTIFS('3_채널별_비용설정'!$C$6:$C$55,D187,'3_채널별_비용설정'!$D$6:$D$55,"&lt;="&amp;B187,'3_채널별_비용설정'!$L$6:$L$55,"&gt;="&amp;B187)&gt;1,"기간 중복 확인","정상"))))</f>
      </c>
      <c r="K187" s="15" t="str">
        <f>IF(J187="","",IF(J187&lt;&gt;"정상","비용 설정 필요",SUMIFS('3_채널별_비용설정'!$F$6:$F$55,'3_채널별_비용설정'!$C$6:$C$55,D187,'3_채널별_비용설정'!$D$6:$D$55,"&lt;="&amp;B187,'3_채널별_비용설정'!$L$6:$L$55,"&gt;="&amp;B187)))</f>
      </c>
      <c r="L187" s="12" t="str">
        <f>IF(J187="","",IF(J187&lt;&gt;"정상","비용 설정 필요",ROUND(F187*K187,0)))</f>
      </c>
      <c r="M187" s="12" t="str">
        <f>IF(J187="","",IF(J187&lt;&gt;"정상","비용 설정 필요",SUMIFS('3_채널별_비용설정'!$J$6:$J$55,'3_채널별_비용설정'!$C$6:$C$55,D187,'3_채널별_비용설정'!$D$6:$D$55,"&lt;="&amp;B187,'3_채널별_비용설정'!$L$6:$L$55,"&gt;="&amp;B187)))</f>
      </c>
      <c r="N187" s="12" t="str">
        <f>IF(J187="","",IF(J187&lt;&gt;"정상","비용 설정 필요",E187*M187))</f>
      </c>
      <c r="O187" s="12" t="str">
        <f>IF(J187="","",IF(J187&lt;&gt;"정상","비용 설정 필요",G187+L187+N187+H187))</f>
      </c>
      <c r="P187" s="13" t="str">
        <f>IF(J187="","",IF(J187&lt;&gt;"정상","비용 설정 필요",F187-O187))</f>
      </c>
      <c r="Q187" s="14" t="str">
        <f>IF(J187="","",IF(J187&lt;&gt;"정상","비용 설정 필요",IFERROR(P187/F187,0)))</f>
      </c>
    </row>
    <row r="188">
      <c r="B188" s="7"/>
      <c r="C188" s="5"/>
      <c r="D188" s="5"/>
      <c r="E188" s="8"/>
      <c r="F188" s="8"/>
      <c r="G188" s="8"/>
      <c r="H188" s="8"/>
      <c r="I188" s="6"/>
      <c r="J188" s="10" t="str">
        <f>IF(AND(B188="",C188="",D188=""),"",IF(OR(B188="",D188=""),"비용 설정 필요",IF(COUNTIFS('3_채널별_비용설정'!$C$6:$C$55,D188,'3_채널별_비용설정'!$D$6:$D$55,"&lt;="&amp;B188,'3_채널별_비용설정'!$L$6:$L$55,"&gt;="&amp;B188)=0,"비용 설정 필요",IF(COUNTIFS('3_채널별_비용설정'!$C$6:$C$55,D188,'3_채널별_비용설정'!$D$6:$D$55,"&lt;="&amp;B188,'3_채널별_비용설정'!$L$6:$L$55,"&gt;="&amp;B188)&gt;1,"기간 중복 확인","정상"))))</f>
      </c>
      <c r="K188" s="15" t="str">
        <f>IF(J188="","",IF(J188&lt;&gt;"정상","비용 설정 필요",SUMIFS('3_채널별_비용설정'!$F$6:$F$55,'3_채널별_비용설정'!$C$6:$C$55,D188,'3_채널별_비용설정'!$D$6:$D$55,"&lt;="&amp;B188,'3_채널별_비용설정'!$L$6:$L$55,"&gt;="&amp;B188)))</f>
      </c>
      <c r="L188" s="12" t="str">
        <f>IF(J188="","",IF(J188&lt;&gt;"정상","비용 설정 필요",ROUND(F188*K188,0)))</f>
      </c>
      <c r="M188" s="12" t="str">
        <f>IF(J188="","",IF(J188&lt;&gt;"정상","비용 설정 필요",SUMIFS('3_채널별_비용설정'!$J$6:$J$55,'3_채널별_비용설정'!$C$6:$C$55,D188,'3_채널별_비용설정'!$D$6:$D$55,"&lt;="&amp;B188,'3_채널별_비용설정'!$L$6:$L$55,"&gt;="&amp;B188)))</f>
      </c>
      <c r="N188" s="12" t="str">
        <f>IF(J188="","",IF(J188&lt;&gt;"정상","비용 설정 필요",E188*M188))</f>
      </c>
      <c r="O188" s="12" t="str">
        <f>IF(J188="","",IF(J188&lt;&gt;"정상","비용 설정 필요",G188+L188+N188+H188))</f>
      </c>
      <c r="P188" s="13" t="str">
        <f>IF(J188="","",IF(J188&lt;&gt;"정상","비용 설정 필요",F188-O188))</f>
      </c>
      <c r="Q188" s="14" t="str">
        <f>IF(J188="","",IF(J188&lt;&gt;"정상","비용 설정 필요",IFERROR(P188/F188,0)))</f>
      </c>
    </row>
    <row r="189">
      <c r="B189" s="7"/>
      <c r="C189" s="5"/>
      <c r="D189" s="5"/>
      <c r="E189" s="8"/>
      <c r="F189" s="8"/>
      <c r="G189" s="8"/>
      <c r="H189" s="8"/>
      <c r="I189" s="6"/>
      <c r="J189" s="10" t="str">
        <f>IF(AND(B189="",C189="",D189=""),"",IF(OR(B189="",D189=""),"비용 설정 필요",IF(COUNTIFS('3_채널별_비용설정'!$C$6:$C$55,D189,'3_채널별_비용설정'!$D$6:$D$55,"&lt;="&amp;B189,'3_채널별_비용설정'!$L$6:$L$55,"&gt;="&amp;B189)=0,"비용 설정 필요",IF(COUNTIFS('3_채널별_비용설정'!$C$6:$C$55,D189,'3_채널별_비용설정'!$D$6:$D$55,"&lt;="&amp;B189,'3_채널별_비용설정'!$L$6:$L$55,"&gt;="&amp;B189)&gt;1,"기간 중복 확인","정상"))))</f>
      </c>
      <c r="K189" s="15" t="str">
        <f>IF(J189="","",IF(J189&lt;&gt;"정상","비용 설정 필요",SUMIFS('3_채널별_비용설정'!$F$6:$F$55,'3_채널별_비용설정'!$C$6:$C$55,D189,'3_채널별_비용설정'!$D$6:$D$55,"&lt;="&amp;B189,'3_채널별_비용설정'!$L$6:$L$55,"&gt;="&amp;B189)))</f>
      </c>
      <c r="L189" s="12" t="str">
        <f>IF(J189="","",IF(J189&lt;&gt;"정상","비용 설정 필요",ROUND(F189*K189,0)))</f>
      </c>
      <c r="M189" s="12" t="str">
        <f>IF(J189="","",IF(J189&lt;&gt;"정상","비용 설정 필요",SUMIFS('3_채널별_비용설정'!$J$6:$J$55,'3_채널별_비용설정'!$C$6:$C$55,D189,'3_채널별_비용설정'!$D$6:$D$55,"&lt;="&amp;B189,'3_채널별_비용설정'!$L$6:$L$55,"&gt;="&amp;B189)))</f>
      </c>
      <c r="N189" s="12" t="str">
        <f>IF(J189="","",IF(J189&lt;&gt;"정상","비용 설정 필요",E189*M189))</f>
      </c>
      <c r="O189" s="12" t="str">
        <f>IF(J189="","",IF(J189&lt;&gt;"정상","비용 설정 필요",G189+L189+N189+H189))</f>
      </c>
      <c r="P189" s="13" t="str">
        <f>IF(J189="","",IF(J189&lt;&gt;"정상","비용 설정 필요",F189-O189))</f>
      </c>
      <c r="Q189" s="14" t="str">
        <f>IF(J189="","",IF(J189&lt;&gt;"정상","비용 설정 필요",IFERROR(P189/F189,0)))</f>
      </c>
    </row>
    <row r="190">
      <c r="B190" s="7"/>
      <c r="C190" s="5"/>
      <c r="D190" s="5"/>
      <c r="E190" s="8"/>
      <c r="F190" s="8"/>
      <c r="G190" s="8"/>
      <c r="H190" s="8"/>
      <c r="I190" s="6"/>
      <c r="J190" s="10" t="str">
        <f>IF(AND(B190="",C190="",D190=""),"",IF(OR(B190="",D190=""),"비용 설정 필요",IF(COUNTIFS('3_채널별_비용설정'!$C$6:$C$55,D190,'3_채널별_비용설정'!$D$6:$D$55,"&lt;="&amp;B190,'3_채널별_비용설정'!$L$6:$L$55,"&gt;="&amp;B190)=0,"비용 설정 필요",IF(COUNTIFS('3_채널별_비용설정'!$C$6:$C$55,D190,'3_채널별_비용설정'!$D$6:$D$55,"&lt;="&amp;B190,'3_채널별_비용설정'!$L$6:$L$55,"&gt;="&amp;B190)&gt;1,"기간 중복 확인","정상"))))</f>
      </c>
      <c r="K190" s="15" t="str">
        <f>IF(J190="","",IF(J190&lt;&gt;"정상","비용 설정 필요",SUMIFS('3_채널별_비용설정'!$F$6:$F$55,'3_채널별_비용설정'!$C$6:$C$55,D190,'3_채널별_비용설정'!$D$6:$D$55,"&lt;="&amp;B190,'3_채널별_비용설정'!$L$6:$L$55,"&gt;="&amp;B190)))</f>
      </c>
      <c r="L190" s="12" t="str">
        <f>IF(J190="","",IF(J190&lt;&gt;"정상","비용 설정 필요",ROUND(F190*K190,0)))</f>
      </c>
      <c r="M190" s="12" t="str">
        <f>IF(J190="","",IF(J190&lt;&gt;"정상","비용 설정 필요",SUMIFS('3_채널별_비용설정'!$J$6:$J$55,'3_채널별_비용설정'!$C$6:$C$55,D190,'3_채널별_비용설정'!$D$6:$D$55,"&lt;="&amp;B190,'3_채널별_비용설정'!$L$6:$L$55,"&gt;="&amp;B190)))</f>
      </c>
      <c r="N190" s="12" t="str">
        <f>IF(J190="","",IF(J190&lt;&gt;"정상","비용 설정 필요",E190*M190))</f>
      </c>
      <c r="O190" s="12" t="str">
        <f>IF(J190="","",IF(J190&lt;&gt;"정상","비용 설정 필요",G190+L190+N190+H190))</f>
      </c>
      <c r="P190" s="13" t="str">
        <f>IF(J190="","",IF(J190&lt;&gt;"정상","비용 설정 필요",F190-O190))</f>
      </c>
      <c r="Q190" s="14" t="str">
        <f>IF(J190="","",IF(J190&lt;&gt;"정상","비용 설정 필요",IFERROR(P190/F190,0)))</f>
      </c>
    </row>
    <row r="191">
      <c r="B191" s="7"/>
      <c r="C191" s="5"/>
      <c r="D191" s="5"/>
      <c r="E191" s="8"/>
      <c r="F191" s="8"/>
      <c r="G191" s="8"/>
      <c r="H191" s="8"/>
      <c r="I191" s="6"/>
      <c r="J191" s="10" t="str">
        <f>IF(AND(B191="",C191="",D191=""),"",IF(OR(B191="",D191=""),"비용 설정 필요",IF(COUNTIFS('3_채널별_비용설정'!$C$6:$C$55,D191,'3_채널별_비용설정'!$D$6:$D$55,"&lt;="&amp;B191,'3_채널별_비용설정'!$L$6:$L$55,"&gt;="&amp;B191)=0,"비용 설정 필요",IF(COUNTIFS('3_채널별_비용설정'!$C$6:$C$55,D191,'3_채널별_비용설정'!$D$6:$D$55,"&lt;="&amp;B191,'3_채널별_비용설정'!$L$6:$L$55,"&gt;="&amp;B191)&gt;1,"기간 중복 확인","정상"))))</f>
      </c>
      <c r="K191" s="15" t="str">
        <f>IF(J191="","",IF(J191&lt;&gt;"정상","비용 설정 필요",SUMIFS('3_채널별_비용설정'!$F$6:$F$55,'3_채널별_비용설정'!$C$6:$C$55,D191,'3_채널별_비용설정'!$D$6:$D$55,"&lt;="&amp;B191,'3_채널별_비용설정'!$L$6:$L$55,"&gt;="&amp;B191)))</f>
      </c>
      <c r="L191" s="12" t="str">
        <f>IF(J191="","",IF(J191&lt;&gt;"정상","비용 설정 필요",ROUND(F191*K191,0)))</f>
      </c>
      <c r="M191" s="12" t="str">
        <f>IF(J191="","",IF(J191&lt;&gt;"정상","비용 설정 필요",SUMIFS('3_채널별_비용설정'!$J$6:$J$55,'3_채널별_비용설정'!$C$6:$C$55,D191,'3_채널별_비용설정'!$D$6:$D$55,"&lt;="&amp;B191,'3_채널별_비용설정'!$L$6:$L$55,"&gt;="&amp;B191)))</f>
      </c>
      <c r="N191" s="12" t="str">
        <f>IF(J191="","",IF(J191&lt;&gt;"정상","비용 설정 필요",E191*M191))</f>
      </c>
      <c r="O191" s="12" t="str">
        <f>IF(J191="","",IF(J191&lt;&gt;"정상","비용 설정 필요",G191+L191+N191+H191))</f>
      </c>
      <c r="P191" s="13" t="str">
        <f>IF(J191="","",IF(J191&lt;&gt;"정상","비용 설정 필요",F191-O191))</f>
      </c>
      <c r="Q191" s="14" t="str">
        <f>IF(J191="","",IF(J191&lt;&gt;"정상","비용 설정 필요",IFERROR(P191/F191,0)))</f>
      </c>
    </row>
    <row r="192">
      <c r="B192" s="7"/>
      <c r="C192" s="5"/>
      <c r="D192" s="5"/>
      <c r="E192" s="8"/>
      <c r="F192" s="8"/>
      <c r="G192" s="8"/>
      <c r="H192" s="8"/>
      <c r="I192" s="6"/>
      <c r="J192" s="10" t="str">
        <f>IF(AND(B192="",C192="",D192=""),"",IF(OR(B192="",D192=""),"비용 설정 필요",IF(COUNTIFS('3_채널별_비용설정'!$C$6:$C$55,D192,'3_채널별_비용설정'!$D$6:$D$55,"&lt;="&amp;B192,'3_채널별_비용설정'!$L$6:$L$55,"&gt;="&amp;B192)=0,"비용 설정 필요",IF(COUNTIFS('3_채널별_비용설정'!$C$6:$C$55,D192,'3_채널별_비용설정'!$D$6:$D$55,"&lt;="&amp;B192,'3_채널별_비용설정'!$L$6:$L$55,"&gt;="&amp;B192)&gt;1,"기간 중복 확인","정상"))))</f>
      </c>
      <c r="K192" s="15" t="str">
        <f>IF(J192="","",IF(J192&lt;&gt;"정상","비용 설정 필요",SUMIFS('3_채널별_비용설정'!$F$6:$F$55,'3_채널별_비용설정'!$C$6:$C$55,D192,'3_채널별_비용설정'!$D$6:$D$55,"&lt;="&amp;B192,'3_채널별_비용설정'!$L$6:$L$55,"&gt;="&amp;B192)))</f>
      </c>
      <c r="L192" s="12" t="str">
        <f>IF(J192="","",IF(J192&lt;&gt;"정상","비용 설정 필요",ROUND(F192*K192,0)))</f>
      </c>
      <c r="M192" s="12" t="str">
        <f>IF(J192="","",IF(J192&lt;&gt;"정상","비용 설정 필요",SUMIFS('3_채널별_비용설정'!$J$6:$J$55,'3_채널별_비용설정'!$C$6:$C$55,D192,'3_채널별_비용설정'!$D$6:$D$55,"&lt;="&amp;B192,'3_채널별_비용설정'!$L$6:$L$55,"&gt;="&amp;B192)))</f>
      </c>
      <c r="N192" s="12" t="str">
        <f>IF(J192="","",IF(J192&lt;&gt;"정상","비용 설정 필요",E192*M192))</f>
      </c>
      <c r="O192" s="12" t="str">
        <f>IF(J192="","",IF(J192&lt;&gt;"정상","비용 설정 필요",G192+L192+N192+H192))</f>
      </c>
      <c r="P192" s="13" t="str">
        <f>IF(J192="","",IF(J192&lt;&gt;"정상","비용 설정 필요",F192-O192))</f>
      </c>
      <c r="Q192" s="14" t="str">
        <f>IF(J192="","",IF(J192&lt;&gt;"정상","비용 설정 필요",IFERROR(P192/F192,0)))</f>
      </c>
    </row>
    <row r="193">
      <c r="B193" s="7"/>
      <c r="C193" s="5"/>
      <c r="D193" s="5"/>
      <c r="E193" s="8"/>
      <c r="F193" s="8"/>
      <c r="G193" s="8"/>
      <c r="H193" s="8"/>
      <c r="I193" s="6"/>
      <c r="J193" s="10" t="str">
        <f>IF(AND(B193="",C193="",D193=""),"",IF(OR(B193="",D193=""),"비용 설정 필요",IF(COUNTIFS('3_채널별_비용설정'!$C$6:$C$55,D193,'3_채널별_비용설정'!$D$6:$D$55,"&lt;="&amp;B193,'3_채널별_비용설정'!$L$6:$L$55,"&gt;="&amp;B193)=0,"비용 설정 필요",IF(COUNTIFS('3_채널별_비용설정'!$C$6:$C$55,D193,'3_채널별_비용설정'!$D$6:$D$55,"&lt;="&amp;B193,'3_채널별_비용설정'!$L$6:$L$55,"&gt;="&amp;B193)&gt;1,"기간 중복 확인","정상"))))</f>
      </c>
      <c r="K193" s="15" t="str">
        <f>IF(J193="","",IF(J193&lt;&gt;"정상","비용 설정 필요",SUMIFS('3_채널별_비용설정'!$F$6:$F$55,'3_채널별_비용설정'!$C$6:$C$55,D193,'3_채널별_비용설정'!$D$6:$D$55,"&lt;="&amp;B193,'3_채널별_비용설정'!$L$6:$L$55,"&gt;="&amp;B193)))</f>
      </c>
      <c r="L193" s="12" t="str">
        <f>IF(J193="","",IF(J193&lt;&gt;"정상","비용 설정 필요",ROUND(F193*K193,0)))</f>
      </c>
      <c r="M193" s="12" t="str">
        <f>IF(J193="","",IF(J193&lt;&gt;"정상","비용 설정 필요",SUMIFS('3_채널별_비용설정'!$J$6:$J$55,'3_채널별_비용설정'!$C$6:$C$55,D193,'3_채널별_비용설정'!$D$6:$D$55,"&lt;="&amp;B193,'3_채널별_비용설정'!$L$6:$L$55,"&gt;="&amp;B193)))</f>
      </c>
      <c r="N193" s="12" t="str">
        <f>IF(J193="","",IF(J193&lt;&gt;"정상","비용 설정 필요",E193*M193))</f>
      </c>
      <c r="O193" s="12" t="str">
        <f>IF(J193="","",IF(J193&lt;&gt;"정상","비용 설정 필요",G193+L193+N193+H193))</f>
      </c>
      <c r="P193" s="13" t="str">
        <f>IF(J193="","",IF(J193&lt;&gt;"정상","비용 설정 필요",F193-O193))</f>
      </c>
      <c r="Q193" s="14" t="str">
        <f>IF(J193="","",IF(J193&lt;&gt;"정상","비용 설정 필요",IFERROR(P193/F193,0)))</f>
      </c>
    </row>
    <row r="194">
      <c r="B194" s="7"/>
      <c r="C194" s="5"/>
      <c r="D194" s="5"/>
      <c r="E194" s="8"/>
      <c r="F194" s="8"/>
      <c r="G194" s="8"/>
      <c r="H194" s="8"/>
      <c r="I194" s="6"/>
      <c r="J194" s="10" t="str">
        <f>IF(AND(B194="",C194="",D194=""),"",IF(OR(B194="",D194=""),"비용 설정 필요",IF(COUNTIFS('3_채널별_비용설정'!$C$6:$C$55,D194,'3_채널별_비용설정'!$D$6:$D$55,"&lt;="&amp;B194,'3_채널별_비용설정'!$L$6:$L$55,"&gt;="&amp;B194)=0,"비용 설정 필요",IF(COUNTIFS('3_채널별_비용설정'!$C$6:$C$55,D194,'3_채널별_비용설정'!$D$6:$D$55,"&lt;="&amp;B194,'3_채널별_비용설정'!$L$6:$L$55,"&gt;="&amp;B194)&gt;1,"기간 중복 확인","정상"))))</f>
      </c>
      <c r="K194" s="15" t="str">
        <f>IF(J194="","",IF(J194&lt;&gt;"정상","비용 설정 필요",SUMIFS('3_채널별_비용설정'!$F$6:$F$55,'3_채널별_비용설정'!$C$6:$C$55,D194,'3_채널별_비용설정'!$D$6:$D$55,"&lt;="&amp;B194,'3_채널별_비용설정'!$L$6:$L$55,"&gt;="&amp;B194)))</f>
      </c>
      <c r="L194" s="12" t="str">
        <f>IF(J194="","",IF(J194&lt;&gt;"정상","비용 설정 필요",ROUND(F194*K194,0)))</f>
      </c>
      <c r="M194" s="12" t="str">
        <f>IF(J194="","",IF(J194&lt;&gt;"정상","비용 설정 필요",SUMIFS('3_채널별_비용설정'!$J$6:$J$55,'3_채널별_비용설정'!$C$6:$C$55,D194,'3_채널별_비용설정'!$D$6:$D$55,"&lt;="&amp;B194,'3_채널별_비용설정'!$L$6:$L$55,"&gt;="&amp;B194)))</f>
      </c>
      <c r="N194" s="12" t="str">
        <f>IF(J194="","",IF(J194&lt;&gt;"정상","비용 설정 필요",E194*M194))</f>
      </c>
      <c r="O194" s="12" t="str">
        <f>IF(J194="","",IF(J194&lt;&gt;"정상","비용 설정 필요",G194+L194+N194+H194))</f>
      </c>
      <c r="P194" s="13" t="str">
        <f>IF(J194="","",IF(J194&lt;&gt;"정상","비용 설정 필요",F194-O194))</f>
      </c>
      <c r="Q194" s="14" t="str">
        <f>IF(J194="","",IF(J194&lt;&gt;"정상","비용 설정 필요",IFERROR(P194/F194,0)))</f>
      </c>
    </row>
    <row r="195">
      <c r="B195" s="7"/>
      <c r="C195" s="5"/>
      <c r="D195" s="5"/>
      <c r="E195" s="8"/>
      <c r="F195" s="8"/>
      <c r="G195" s="8"/>
      <c r="H195" s="8"/>
      <c r="I195" s="6"/>
      <c r="J195" s="10" t="str">
        <f>IF(AND(B195="",C195="",D195=""),"",IF(OR(B195="",D195=""),"비용 설정 필요",IF(COUNTIFS('3_채널별_비용설정'!$C$6:$C$55,D195,'3_채널별_비용설정'!$D$6:$D$55,"&lt;="&amp;B195,'3_채널별_비용설정'!$L$6:$L$55,"&gt;="&amp;B195)=0,"비용 설정 필요",IF(COUNTIFS('3_채널별_비용설정'!$C$6:$C$55,D195,'3_채널별_비용설정'!$D$6:$D$55,"&lt;="&amp;B195,'3_채널별_비용설정'!$L$6:$L$55,"&gt;="&amp;B195)&gt;1,"기간 중복 확인","정상"))))</f>
      </c>
      <c r="K195" s="15" t="str">
        <f>IF(J195="","",IF(J195&lt;&gt;"정상","비용 설정 필요",SUMIFS('3_채널별_비용설정'!$F$6:$F$55,'3_채널별_비용설정'!$C$6:$C$55,D195,'3_채널별_비용설정'!$D$6:$D$55,"&lt;="&amp;B195,'3_채널별_비용설정'!$L$6:$L$55,"&gt;="&amp;B195)))</f>
      </c>
      <c r="L195" s="12" t="str">
        <f>IF(J195="","",IF(J195&lt;&gt;"정상","비용 설정 필요",ROUND(F195*K195,0)))</f>
      </c>
      <c r="M195" s="12" t="str">
        <f>IF(J195="","",IF(J195&lt;&gt;"정상","비용 설정 필요",SUMIFS('3_채널별_비용설정'!$J$6:$J$55,'3_채널별_비용설정'!$C$6:$C$55,D195,'3_채널별_비용설정'!$D$6:$D$55,"&lt;="&amp;B195,'3_채널별_비용설정'!$L$6:$L$55,"&gt;="&amp;B195)))</f>
      </c>
      <c r="N195" s="12" t="str">
        <f>IF(J195="","",IF(J195&lt;&gt;"정상","비용 설정 필요",E195*M195))</f>
      </c>
      <c r="O195" s="12" t="str">
        <f>IF(J195="","",IF(J195&lt;&gt;"정상","비용 설정 필요",G195+L195+N195+H195))</f>
      </c>
      <c r="P195" s="13" t="str">
        <f>IF(J195="","",IF(J195&lt;&gt;"정상","비용 설정 필요",F195-O195))</f>
      </c>
      <c r="Q195" s="14" t="str">
        <f>IF(J195="","",IF(J195&lt;&gt;"정상","비용 설정 필요",IFERROR(P195/F195,0)))</f>
      </c>
    </row>
    <row r="196">
      <c r="B196" s="7"/>
      <c r="C196" s="5"/>
      <c r="D196" s="5"/>
      <c r="E196" s="8"/>
      <c r="F196" s="8"/>
      <c r="G196" s="8"/>
      <c r="H196" s="8"/>
      <c r="I196" s="6"/>
      <c r="J196" s="10" t="str">
        <f>IF(AND(B196="",C196="",D196=""),"",IF(OR(B196="",D196=""),"비용 설정 필요",IF(COUNTIFS('3_채널별_비용설정'!$C$6:$C$55,D196,'3_채널별_비용설정'!$D$6:$D$55,"&lt;="&amp;B196,'3_채널별_비용설정'!$L$6:$L$55,"&gt;="&amp;B196)=0,"비용 설정 필요",IF(COUNTIFS('3_채널별_비용설정'!$C$6:$C$55,D196,'3_채널별_비용설정'!$D$6:$D$55,"&lt;="&amp;B196,'3_채널별_비용설정'!$L$6:$L$55,"&gt;="&amp;B196)&gt;1,"기간 중복 확인","정상"))))</f>
      </c>
      <c r="K196" s="15" t="str">
        <f>IF(J196="","",IF(J196&lt;&gt;"정상","비용 설정 필요",SUMIFS('3_채널별_비용설정'!$F$6:$F$55,'3_채널별_비용설정'!$C$6:$C$55,D196,'3_채널별_비용설정'!$D$6:$D$55,"&lt;="&amp;B196,'3_채널별_비용설정'!$L$6:$L$55,"&gt;="&amp;B196)))</f>
      </c>
      <c r="L196" s="12" t="str">
        <f>IF(J196="","",IF(J196&lt;&gt;"정상","비용 설정 필요",ROUND(F196*K196,0)))</f>
      </c>
      <c r="M196" s="12" t="str">
        <f>IF(J196="","",IF(J196&lt;&gt;"정상","비용 설정 필요",SUMIFS('3_채널별_비용설정'!$J$6:$J$55,'3_채널별_비용설정'!$C$6:$C$55,D196,'3_채널별_비용설정'!$D$6:$D$55,"&lt;="&amp;B196,'3_채널별_비용설정'!$L$6:$L$55,"&gt;="&amp;B196)))</f>
      </c>
      <c r="N196" s="12" t="str">
        <f>IF(J196="","",IF(J196&lt;&gt;"정상","비용 설정 필요",E196*M196))</f>
      </c>
      <c r="O196" s="12" t="str">
        <f>IF(J196="","",IF(J196&lt;&gt;"정상","비용 설정 필요",G196+L196+N196+H196))</f>
      </c>
      <c r="P196" s="13" t="str">
        <f>IF(J196="","",IF(J196&lt;&gt;"정상","비용 설정 필요",F196-O196))</f>
      </c>
      <c r="Q196" s="14" t="str">
        <f>IF(J196="","",IF(J196&lt;&gt;"정상","비용 설정 필요",IFERROR(P196/F196,0)))</f>
      </c>
    </row>
    <row r="197">
      <c r="B197" s="7"/>
      <c r="C197" s="5"/>
      <c r="D197" s="5"/>
      <c r="E197" s="8"/>
      <c r="F197" s="8"/>
      <c r="G197" s="8"/>
      <c r="H197" s="8"/>
      <c r="I197" s="6"/>
      <c r="J197" s="10" t="str">
        <f>IF(AND(B197="",C197="",D197=""),"",IF(OR(B197="",D197=""),"비용 설정 필요",IF(COUNTIFS('3_채널별_비용설정'!$C$6:$C$55,D197,'3_채널별_비용설정'!$D$6:$D$55,"&lt;="&amp;B197,'3_채널별_비용설정'!$L$6:$L$55,"&gt;="&amp;B197)=0,"비용 설정 필요",IF(COUNTIFS('3_채널별_비용설정'!$C$6:$C$55,D197,'3_채널별_비용설정'!$D$6:$D$55,"&lt;="&amp;B197,'3_채널별_비용설정'!$L$6:$L$55,"&gt;="&amp;B197)&gt;1,"기간 중복 확인","정상"))))</f>
      </c>
      <c r="K197" s="15" t="str">
        <f>IF(J197="","",IF(J197&lt;&gt;"정상","비용 설정 필요",SUMIFS('3_채널별_비용설정'!$F$6:$F$55,'3_채널별_비용설정'!$C$6:$C$55,D197,'3_채널별_비용설정'!$D$6:$D$55,"&lt;="&amp;B197,'3_채널별_비용설정'!$L$6:$L$55,"&gt;="&amp;B197)))</f>
      </c>
      <c r="L197" s="12" t="str">
        <f>IF(J197="","",IF(J197&lt;&gt;"정상","비용 설정 필요",ROUND(F197*K197,0)))</f>
      </c>
      <c r="M197" s="12" t="str">
        <f>IF(J197="","",IF(J197&lt;&gt;"정상","비용 설정 필요",SUMIFS('3_채널별_비용설정'!$J$6:$J$55,'3_채널별_비용설정'!$C$6:$C$55,D197,'3_채널별_비용설정'!$D$6:$D$55,"&lt;="&amp;B197,'3_채널별_비용설정'!$L$6:$L$55,"&gt;="&amp;B197)))</f>
      </c>
      <c r="N197" s="12" t="str">
        <f>IF(J197="","",IF(J197&lt;&gt;"정상","비용 설정 필요",E197*M197))</f>
      </c>
      <c r="O197" s="12" t="str">
        <f>IF(J197="","",IF(J197&lt;&gt;"정상","비용 설정 필요",G197+L197+N197+H197))</f>
      </c>
      <c r="P197" s="13" t="str">
        <f>IF(J197="","",IF(J197&lt;&gt;"정상","비용 설정 필요",F197-O197))</f>
      </c>
      <c r="Q197" s="14" t="str">
        <f>IF(J197="","",IF(J197&lt;&gt;"정상","비용 설정 필요",IFERROR(P197/F197,0)))</f>
      </c>
    </row>
    <row r="198">
      <c r="B198" s="7"/>
      <c r="C198" s="5"/>
      <c r="D198" s="5"/>
      <c r="E198" s="8"/>
      <c r="F198" s="8"/>
      <c r="G198" s="8"/>
      <c r="H198" s="8"/>
      <c r="I198" s="6"/>
      <c r="J198" s="10" t="str">
        <f>IF(AND(B198="",C198="",D198=""),"",IF(OR(B198="",D198=""),"비용 설정 필요",IF(COUNTIFS('3_채널별_비용설정'!$C$6:$C$55,D198,'3_채널별_비용설정'!$D$6:$D$55,"&lt;="&amp;B198,'3_채널별_비용설정'!$L$6:$L$55,"&gt;="&amp;B198)=0,"비용 설정 필요",IF(COUNTIFS('3_채널별_비용설정'!$C$6:$C$55,D198,'3_채널별_비용설정'!$D$6:$D$55,"&lt;="&amp;B198,'3_채널별_비용설정'!$L$6:$L$55,"&gt;="&amp;B198)&gt;1,"기간 중복 확인","정상"))))</f>
      </c>
      <c r="K198" s="15" t="str">
        <f>IF(J198="","",IF(J198&lt;&gt;"정상","비용 설정 필요",SUMIFS('3_채널별_비용설정'!$F$6:$F$55,'3_채널별_비용설정'!$C$6:$C$55,D198,'3_채널별_비용설정'!$D$6:$D$55,"&lt;="&amp;B198,'3_채널별_비용설정'!$L$6:$L$55,"&gt;="&amp;B198)))</f>
      </c>
      <c r="L198" s="12" t="str">
        <f>IF(J198="","",IF(J198&lt;&gt;"정상","비용 설정 필요",ROUND(F198*K198,0)))</f>
      </c>
      <c r="M198" s="12" t="str">
        <f>IF(J198="","",IF(J198&lt;&gt;"정상","비용 설정 필요",SUMIFS('3_채널별_비용설정'!$J$6:$J$55,'3_채널별_비용설정'!$C$6:$C$55,D198,'3_채널별_비용설정'!$D$6:$D$55,"&lt;="&amp;B198,'3_채널별_비용설정'!$L$6:$L$55,"&gt;="&amp;B198)))</f>
      </c>
      <c r="N198" s="12" t="str">
        <f>IF(J198="","",IF(J198&lt;&gt;"정상","비용 설정 필요",E198*M198))</f>
      </c>
      <c r="O198" s="12" t="str">
        <f>IF(J198="","",IF(J198&lt;&gt;"정상","비용 설정 필요",G198+L198+N198+H198))</f>
      </c>
      <c r="P198" s="13" t="str">
        <f>IF(J198="","",IF(J198&lt;&gt;"정상","비용 설정 필요",F198-O198))</f>
      </c>
      <c r="Q198" s="14" t="str">
        <f>IF(J198="","",IF(J198&lt;&gt;"정상","비용 설정 필요",IFERROR(P198/F198,0)))</f>
      </c>
    </row>
    <row r="199">
      <c r="B199" s="7"/>
      <c r="C199" s="5"/>
      <c r="D199" s="5"/>
      <c r="E199" s="8"/>
      <c r="F199" s="8"/>
      <c r="G199" s="8"/>
      <c r="H199" s="8"/>
      <c r="I199" s="6"/>
      <c r="J199" s="10" t="str">
        <f>IF(AND(B199="",C199="",D199=""),"",IF(OR(B199="",D199=""),"비용 설정 필요",IF(COUNTIFS('3_채널별_비용설정'!$C$6:$C$55,D199,'3_채널별_비용설정'!$D$6:$D$55,"&lt;="&amp;B199,'3_채널별_비용설정'!$L$6:$L$55,"&gt;="&amp;B199)=0,"비용 설정 필요",IF(COUNTIFS('3_채널별_비용설정'!$C$6:$C$55,D199,'3_채널별_비용설정'!$D$6:$D$55,"&lt;="&amp;B199,'3_채널별_비용설정'!$L$6:$L$55,"&gt;="&amp;B199)&gt;1,"기간 중복 확인","정상"))))</f>
      </c>
      <c r="K199" s="15" t="str">
        <f>IF(J199="","",IF(J199&lt;&gt;"정상","비용 설정 필요",SUMIFS('3_채널별_비용설정'!$F$6:$F$55,'3_채널별_비용설정'!$C$6:$C$55,D199,'3_채널별_비용설정'!$D$6:$D$55,"&lt;="&amp;B199,'3_채널별_비용설정'!$L$6:$L$55,"&gt;="&amp;B199)))</f>
      </c>
      <c r="L199" s="12" t="str">
        <f>IF(J199="","",IF(J199&lt;&gt;"정상","비용 설정 필요",ROUND(F199*K199,0)))</f>
      </c>
      <c r="M199" s="12" t="str">
        <f>IF(J199="","",IF(J199&lt;&gt;"정상","비용 설정 필요",SUMIFS('3_채널별_비용설정'!$J$6:$J$55,'3_채널별_비용설정'!$C$6:$C$55,D199,'3_채널별_비용설정'!$D$6:$D$55,"&lt;="&amp;B199,'3_채널별_비용설정'!$L$6:$L$55,"&gt;="&amp;B199)))</f>
      </c>
      <c r="N199" s="12" t="str">
        <f>IF(J199="","",IF(J199&lt;&gt;"정상","비용 설정 필요",E199*M199))</f>
      </c>
      <c r="O199" s="12" t="str">
        <f>IF(J199="","",IF(J199&lt;&gt;"정상","비용 설정 필요",G199+L199+N199+H199))</f>
      </c>
      <c r="P199" s="13" t="str">
        <f>IF(J199="","",IF(J199&lt;&gt;"정상","비용 설정 필요",F199-O199))</f>
      </c>
      <c r="Q199" s="14" t="str">
        <f>IF(J199="","",IF(J199&lt;&gt;"정상","비용 설정 필요",IFERROR(P199/F199,0)))</f>
      </c>
    </row>
    <row r="200">
      <c r="B200" s="7"/>
      <c r="C200" s="5"/>
      <c r="D200" s="5"/>
      <c r="E200" s="8"/>
      <c r="F200" s="8"/>
      <c r="G200" s="8"/>
      <c r="H200" s="8"/>
      <c r="I200" s="6"/>
      <c r="J200" s="10" t="str">
        <f>IF(AND(B200="",C200="",D200=""),"",IF(OR(B200="",D200=""),"비용 설정 필요",IF(COUNTIFS('3_채널별_비용설정'!$C$6:$C$55,D200,'3_채널별_비용설정'!$D$6:$D$55,"&lt;="&amp;B200,'3_채널별_비용설정'!$L$6:$L$55,"&gt;="&amp;B200)=0,"비용 설정 필요",IF(COUNTIFS('3_채널별_비용설정'!$C$6:$C$55,D200,'3_채널별_비용설정'!$D$6:$D$55,"&lt;="&amp;B200,'3_채널별_비용설정'!$L$6:$L$55,"&gt;="&amp;B200)&gt;1,"기간 중복 확인","정상"))))</f>
      </c>
      <c r="K200" s="15" t="str">
        <f>IF(J200="","",IF(J200&lt;&gt;"정상","비용 설정 필요",SUMIFS('3_채널별_비용설정'!$F$6:$F$55,'3_채널별_비용설정'!$C$6:$C$55,D200,'3_채널별_비용설정'!$D$6:$D$55,"&lt;="&amp;B200,'3_채널별_비용설정'!$L$6:$L$55,"&gt;="&amp;B200)))</f>
      </c>
      <c r="L200" s="12" t="str">
        <f>IF(J200="","",IF(J200&lt;&gt;"정상","비용 설정 필요",ROUND(F200*K200,0)))</f>
      </c>
      <c r="M200" s="12" t="str">
        <f>IF(J200="","",IF(J200&lt;&gt;"정상","비용 설정 필요",SUMIFS('3_채널별_비용설정'!$J$6:$J$55,'3_채널별_비용설정'!$C$6:$C$55,D200,'3_채널별_비용설정'!$D$6:$D$55,"&lt;="&amp;B200,'3_채널별_비용설정'!$L$6:$L$55,"&gt;="&amp;B200)))</f>
      </c>
      <c r="N200" s="12" t="str">
        <f>IF(J200="","",IF(J200&lt;&gt;"정상","비용 설정 필요",E200*M200))</f>
      </c>
      <c r="O200" s="12" t="str">
        <f>IF(J200="","",IF(J200&lt;&gt;"정상","비용 설정 필요",G200+L200+N200+H200))</f>
      </c>
      <c r="P200" s="13" t="str">
        <f>IF(J200="","",IF(J200&lt;&gt;"정상","비용 설정 필요",F200-O200))</f>
      </c>
      <c r="Q200" s="14" t="str">
        <f>IF(J200="","",IF(J200&lt;&gt;"정상","비용 설정 필요",IFERROR(P200/F200,0)))</f>
      </c>
    </row>
    <row r="201">
      <c r="B201" s="7"/>
      <c r="C201" s="5"/>
      <c r="D201" s="5"/>
      <c r="E201" s="8"/>
      <c r="F201" s="8"/>
      <c r="G201" s="8"/>
      <c r="H201" s="8"/>
      <c r="I201" s="6"/>
      <c r="J201" s="10" t="str">
        <f>IF(AND(B201="",C201="",D201=""),"",IF(OR(B201="",D201=""),"비용 설정 필요",IF(COUNTIFS('3_채널별_비용설정'!$C$6:$C$55,D201,'3_채널별_비용설정'!$D$6:$D$55,"&lt;="&amp;B201,'3_채널별_비용설정'!$L$6:$L$55,"&gt;="&amp;B201)=0,"비용 설정 필요",IF(COUNTIFS('3_채널별_비용설정'!$C$6:$C$55,D201,'3_채널별_비용설정'!$D$6:$D$55,"&lt;="&amp;B201,'3_채널별_비용설정'!$L$6:$L$55,"&gt;="&amp;B201)&gt;1,"기간 중복 확인","정상"))))</f>
      </c>
      <c r="K201" s="15" t="str">
        <f>IF(J201="","",IF(J201&lt;&gt;"정상","비용 설정 필요",SUMIFS('3_채널별_비용설정'!$F$6:$F$55,'3_채널별_비용설정'!$C$6:$C$55,D201,'3_채널별_비용설정'!$D$6:$D$55,"&lt;="&amp;B201,'3_채널별_비용설정'!$L$6:$L$55,"&gt;="&amp;B201)))</f>
      </c>
      <c r="L201" s="12" t="str">
        <f>IF(J201="","",IF(J201&lt;&gt;"정상","비용 설정 필요",ROUND(F201*K201,0)))</f>
      </c>
      <c r="M201" s="12" t="str">
        <f>IF(J201="","",IF(J201&lt;&gt;"정상","비용 설정 필요",SUMIFS('3_채널별_비용설정'!$J$6:$J$55,'3_채널별_비용설정'!$C$6:$C$55,D201,'3_채널별_비용설정'!$D$6:$D$55,"&lt;="&amp;B201,'3_채널별_비용설정'!$L$6:$L$55,"&gt;="&amp;B201)))</f>
      </c>
      <c r="N201" s="12" t="str">
        <f>IF(J201="","",IF(J201&lt;&gt;"정상","비용 설정 필요",E201*M201))</f>
      </c>
      <c r="O201" s="12" t="str">
        <f>IF(J201="","",IF(J201&lt;&gt;"정상","비용 설정 필요",G201+L201+N201+H201))</f>
      </c>
      <c r="P201" s="13" t="str">
        <f>IF(J201="","",IF(J201&lt;&gt;"정상","비용 설정 필요",F201-O201))</f>
      </c>
      <c r="Q201" s="14" t="str">
        <f>IF(J201="","",IF(J201&lt;&gt;"정상","비용 설정 필요",IFERROR(P201/F201,0)))</f>
      </c>
    </row>
    <row r="202">
      <c r="B202" s="7"/>
      <c r="C202" s="5"/>
      <c r="D202" s="5"/>
      <c r="E202" s="8"/>
      <c r="F202" s="8"/>
      <c r="G202" s="8"/>
      <c r="H202" s="8"/>
      <c r="I202" s="6"/>
      <c r="J202" s="10" t="str">
        <f>IF(AND(B202="",C202="",D202=""),"",IF(OR(B202="",D202=""),"비용 설정 필요",IF(COUNTIFS('3_채널별_비용설정'!$C$6:$C$55,D202,'3_채널별_비용설정'!$D$6:$D$55,"&lt;="&amp;B202,'3_채널별_비용설정'!$L$6:$L$55,"&gt;="&amp;B202)=0,"비용 설정 필요",IF(COUNTIFS('3_채널별_비용설정'!$C$6:$C$55,D202,'3_채널별_비용설정'!$D$6:$D$55,"&lt;="&amp;B202,'3_채널별_비용설정'!$L$6:$L$55,"&gt;="&amp;B202)&gt;1,"기간 중복 확인","정상"))))</f>
      </c>
      <c r="K202" s="15" t="str">
        <f>IF(J202="","",IF(J202&lt;&gt;"정상","비용 설정 필요",SUMIFS('3_채널별_비용설정'!$F$6:$F$55,'3_채널별_비용설정'!$C$6:$C$55,D202,'3_채널별_비용설정'!$D$6:$D$55,"&lt;="&amp;B202,'3_채널별_비용설정'!$L$6:$L$55,"&gt;="&amp;B202)))</f>
      </c>
      <c r="L202" s="12" t="str">
        <f>IF(J202="","",IF(J202&lt;&gt;"정상","비용 설정 필요",ROUND(F202*K202,0)))</f>
      </c>
      <c r="M202" s="12" t="str">
        <f>IF(J202="","",IF(J202&lt;&gt;"정상","비용 설정 필요",SUMIFS('3_채널별_비용설정'!$J$6:$J$55,'3_채널별_비용설정'!$C$6:$C$55,D202,'3_채널별_비용설정'!$D$6:$D$55,"&lt;="&amp;B202,'3_채널별_비용설정'!$L$6:$L$55,"&gt;="&amp;B202)))</f>
      </c>
      <c r="N202" s="12" t="str">
        <f>IF(J202="","",IF(J202&lt;&gt;"정상","비용 설정 필요",E202*M202))</f>
      </c>
      <c r="O202" s="12" t="str">
        <f>IF(J202="","",IF(J202&lt;&gt;"정상","비용 설정 필요",G202+L202+N202+H202))</f>
      </c>
      <c r="P202" s="13" t="str">
        <f>IF(J202="","",IF(J202&lt;&gt;"정상","비용 설정 필요",F202-O202))</f>
      </c>
      <c r="Q202" s="14" t="str">
        <f>IF(J202="","",IF(J202&lt;&gt;"정상","비용 설정 필요",IFERROR(P202/F202,0)))</f>
      </c>
    </row>
    <row r="203">
      <c r="B203" s="7"/>
      <c r="C203" s="5"/>
      <c r="D203" s="5"/>
      <c r="E203" s="8"/>
      <c r="F203" s="8"/>
      <c r="G203" s="8"/>
      <c r="H203" s="8"/>
      <c r="I203" s="6"/>
      <c r="J203" s="10" t="str">
        <f>IF(AND(B203="",C203="",D203=""),"",IF(OR(B203="",D203=""),"비용 설정 필요",IF(COUNTIFS('3_채널별_비용설정'!$C$6:$C$55,D203,'3_채널별_비용설정'!$D$6:$D$55,"&lt;="&amp;B203,'3_채널별_비용설정'!$L$6:$L$55,"&gt;="&amp;B203)=0,"비용 설정 필요",IF(COUNTIFS('3_채널별_비용설정'!$C$6:$C$55,D203,'3_채널별_비용설정'!$D$6:$D$55,"&lt;="&amp;B203,'3_채널별_비용설정'!$L$6:$L$55,"&gt;="&amp;B203)&gt;1,"기간 중복 확인","정상"))))</f>
      </c>
      <c r="K203" s="15" t="str">
        <f>IF(J203="","",IF(J203&lt;&gt;"정상","비용 설정 필요",SUMIFS('3_채널별_비용설정'!$F$6:$F$55,'3_채널별_비용설정'!$C$6:$C$55,D203,'3_채널별_비용설정'!$D$6:$D$55,"&lt;="&amp;B203,'3_채널별_비용설정'!$L$6:$L$55,"&gt;="&amp;B203)))</f>
      </c>
      <c r="L203" s="12" t="str">
        <f>IF(J203="","",IF(J203&lt;&gt;"정상","비용 설정 필요",ROUND(F203*K203,0)))</f>
      </c>
      <c r="M203" s="12" t="str">
        <f>IF(J203="","",IF(J203&lt;&gt;"정상","비용 설정 필요",SUMIFS('3_채널별_비용설정'!$J$6:$J$55,'3_채널별_비용설정'!$C$6:$C$55,D203,'3_채널별_비용설정'!$D$6:$D$55,"&lt;="&amp;B203,'3_채널별_비용설정'!$L$6:$L$55,"&gt;="&amp;B203)))</f>
      </c>
      <c r="N203" s="12" t="str">
        <f>IF(J203="","",IF(J203&lt;&gt;"정상","비용 설정 필요",E203*M203))</f>
      </c>
      <c r="O203" s="12" t="str">
        <f>IF(J203="","",IF(J203&lt;&gt;"정상","비용 설정 필요",G203+L203+N203+H203))</f>
      </c>
      <c r="P203" s="13" t="str">
        <f>IF(J203="","",IF(J203&lt;&gt;"정상","비용 설정 필요",F203-O203))</f>
      </c>
      <c r="Q203" s="14" t="str">
        <f>IF(J203="","",IF(J203&lt;&gt;"정상","비용 설정 필요",IFERROR(P203/F203,0)))</f>
      </c>
    </row>
    <row r="204">
      <c r="B204" s="7"/>
      <c r="C204" s="5"/>
      <c r="D204" s="5"/>
      <c r="E204" s="8"/>
      <c r="F204" s="8"/>
      <c r="G204" s="8"/>
      <c r="H204" s="8"/>
      <c r="I204" s="6"/>
      <c r="J204" s="10" t="str">
        <f>IF(AND(B204="",C204="",D204=""),"",IF(OR(B204="",D204=""),"비용 설정 필요",IF(COUNTIFS('3_채널별_비용설정'!$C$6:$C$55,D204,'3_채널별_비용설정'!$D$6:$D$55,"&lt;="&amp;B204,'3_채널별_비용설정'!$L$6:$L$55,"&gt;="&amp;B204)=0,"비용 설정 필요",IF(COUNTIFS('3_채널별_비용설정'!$C$6:$C$55,D204,'3_채널별_비용설정'!$D$6:$D$55,"&lt;="&amp;B204,'3_채널별_비용설정'!$L$6:$L$55,"&gt;="&amp;B204)&gt;1,"기간 중복 확인","정상"))))</f>
      </c>
      <c r="K204" s="15" t="str">
        <f>IF(J204="","",IF(J204&lt;&gt;"정상","비용 설정 필요",SUMIFS('3_채널별_비용설정'!$F$6:$F$55,'3_채널별_비용설정'!$C$6:$C$55,D204,'3_채널별_비용설정'!$D$6:$D$55,"&lt;="&amp;B204,'3_채널별_비용설정'!$L$6:$L$55,"&gt;="&amp;B204)))</f>
      </c>
      <c r="L204" s="12" t="str">
        <f>IF(J204="","",IF(J204&lt;&gt;"정상","비용 설정 필요",ROUND(F204*K204,0)))</f>
      </c>
      <c r="M204" s="12" t="str">
        <f>IF(J204="","",IF(J204&lt;&gt;"정상","비용 설정 필요",SUMIFS('3_채널별_비용설정'!$J$6:$J$55,'3_채널별_비용설정'!$C$6:$C$55,D204,'3_채널별_비용설정'!$D$6:$D$55,"&lt;="&amp;B204,'3_채널별_비용설정'!$L$6:$L$55,"&gt;="&amp;B204)))</f>
      </c>
      <c r="N204" s="12" t="str">
        <f>IF(J204="","",IF(J204&lt;&gt;"정상","비용 설정 필요",E204*M204))</f>
      </c>
      <c r="O204" s="12" t="str">
        <f>IF(J204="","",IF(J204&lt;&gt;"정상","비용 설정 필요",G204+L204+N204+H204))</f>
      </c>
      <c r="P204" s="13" t="str">
        <f>IF(J204="","",IF(J204&lt;&gt;"정상","비용 설정 필요",F204-O204))</f>
      </c>
      <c r="Q204" s="14" t="str">
        <f>IF(J204="","",IF(J204&lt;&gt;"정상","비용 설정 필요",IFERROR(P204/F204,0)))</f>
      </c>
    </row>
    <row r="205">
      <c r="B205" s="7"/>
      <c r="C205" s="5"/>
      <c r="D205" s="5"/>
      <c r="E205" s="8"/>
      <c r="F205" s="8"/>
      <c r="G205" s="8"/>
      <c r="H205" s="8"/>
      <c r="I205" s="6"/>
      <c r="J205" s="10" t="str">
        <f>IF(AND(B205="",C205="",D205=""),"",IF(OR(B205="",D205=""),"비용 설정 필요",IF(COUNTIFS('3_채널별_비용설정'!$C$6:$C$55,D205,'3_채널별_비용설정'!$D$6:$D$55,"&lt;="&amp;B205,'3_채널별_비용설정'!$L$6:$L$55,"&gt;="&amp;B205)=0,"비용 설정 필요",IF(COUNTIFS('3_채널별_비용설정'!$C$6:$C$55,D205,'3_채널별_비용설정'!$D$6:$D$55,"&lt;="&amp;B205,'3_채널별_비용설정'!$L$6:$L$55,"&gt;="&amp;B205)&gt;1,"기간 중복 확인","정상"))))</f>
      </c>
      <c r="K205" s="15" t="str">
        <f>IF(J205="","",IF(J205&lt;&gt;"정상","비용 설정 필요",SUMIFS('3_채널별_비용설정'!$F$6:$F$55,'3_채널별_비용설정'!$C$6:$C$55,D205,'3_채널별_비용설정'!$D$6:$D$55,"&lt;="&amp;B205,'3_채널별_비용설정'!$L$6:$L$55,"&gt;="&amp;B205)))</f>
      </c>
      <c r="L205" s="12" t="str">
        <f>IF(J205="","",IF(J205&lt;&gt;"정상","비용 설정 필요",ROUND(F205*K205,0)))</f>
      </c>
      <c r="M205" s="12" t="str">
        <f>IF(J205="","",IF(J205&lt;&gt;"정상","비용 설정 필요",SUMIFS('3_채널별_비용설정'!$J$6:$J$55,'3_채널별_비용설정'!$C$6:$C$55,D205,'3_채널별_비용설정'!$D$6:$D$55,"&lt;="&amp;B205,'3_채널별_비용설정'!$L$6:$L$55,"&gt;="&amp;B205)))</f>
      </c>
      <c r="N205" s="12" t="str">
        <f>IF(J205="","",IF(J205&lt;&gt;"정상","비용 설정 필요",E205*M205))</f>
      </c>
      <c r="O205" s="12" t="str">
        <f>IF(J205="","",IF(J205&lt;&gt;"정상","비용 설정 필요",G205+L205+N205+H205))</f>
      </c>
      <c r="P205" s="13" t="str">
        <f>IF(J205="","",IF(J205&lt;&gt;"정상","비용 설정 필요",F205-O205))</f>
      </c>
      <c r="Q205" s="14" t="str">
        <f>IF(J205="","",IF(J205&lt;&gt;"정상","비용 설정 필요",IFERROR(P205/F205,0)))</f>
      </c>
    </row>
    <row r="206">
      <c r="B206" s="7"/>
      <c r="C206" s="5"/>
      <c r="D206" s="5"/>
      <c r="E206" s="8"/>
      <c r="F206" s="8"/>
      <c r="G206" s="8"/>
      <c r="H206" s="8"/>
      <c r="I206" s="6"/>
      <c r="J206" s="10" t="str">
        <f>IF(AND(B206="",C206="",D206=""),"",IF(OR(B206="",D206=""),"비용 설정 필요",IF(COUNTIFS('3_채널별_비용설정'!$C$6:$C$55,D206,'3_채널별_비용설정'!$D$6:$D$55,"&lt;="&amp;B206,'3_채널별_비용설정'!$L$6:$L$55,"&gt;="&amp;B206)=0,"비용 설정 필요",IF(COUNTIFS('3_채널별_비용설정'!$C$6:$C$55,D206,'3_채널별_비용설정'!$D$6:$D$55,"&lt;="&amp;B206,'3_채널별_비용설정'!$L$6:$L$55,"&gt;="&amp;B206)&gt;1,"기간 중복 확인","정상"))))</f>
      </c>
      <c r="K206" s="15" t="str">
        <f>IF(J206="","",IF(J206&lt;&gt;"정상","비용 설정 필요",SUMIFS('3_채널별_비용설정'!$F$6:$F$55,'3_채널별_비용설정'!$C$6:$C$55,D206,'3_채널별_비용설정'!$D$6:$D$55,"&lt;="&amp;B206,'3_채널별_비용설정'!$L$6:$L$55,"&gt;="&amp;B206)))</f>
      </c>
      <c r="L206" s="12" t="str">
        <f>IF(J206="","",IF(J206&lt;&gt;"정상","비용 설정 필요",ROUND(F206*K206,0)))</f>
      </c>
      <c r="M206" s="12" t="str">
        <f>IF(J206="","",IF(J206&lt;&gt;"정상","비용 설정 필요",SUMIFS('3_채널별_비용설정'!$J$6:$J$55,'3_채널별_비용설정'!$C$6:$C$55,D206,'3_채널별_비용설정'!$D$6:$D$55,"&lt;="&amp;B206,'3_채널별_비용설정'!$L$6:$L$55,"&gt;="&amp;B206)))</f>
      </c>
      <c r="N206" s="12" t="str">
        <f>IF(J206="","",IF(J206&lt;&gt;"정상","비용 설정 필요",E206*M206))</f>
      </c>
      <c r="O206" s="12" t="str">
        <f>IF(J206="","",IF(J206&lt;&gt;"정상","비용 설정 필요",G206+L206+N206+H206))</f>
      </c>
      <c r="P206" s="13" t="str">
        <f>IF(J206="","",IF(J206&lt;&gt;"정상","비용 설정 필요",F206-O206))</f>
      </c>
      <c r="Q206" s="14" t="str">
        <f>IF(J206="","",IF(J206&lt;&gt;"정상","비용 설정 필요",IFERROR(P206/F206,0)))</f>
      </c>
    </row>
    <row r="207">
      <c r="B207" s="7"/>
      <c r="C207" s="5"/>
      <c r="D207" s="5"/>
      <c r="E207" s="8"/>
      <c r="F207" s="8"/>
      <c r="G207" s="8"/>
      <c r="H207" s="8"/>
      <c r="I207" s="6"/>
      <c r="J207" s="10" t="str">
        <f>IF(AND(B207="",C207="",D207=""),"",IF(OR(B207="",D207=""),"비용 설정 필요",IF(COUNTIFS('3_채널별_비용설정'!$C$6:$C$55,D207,'3_채널별_비용설정'!$D$6:$D$55,"&lt;="&amp;B207,'3_채널별_비용설정'!$L$6:$L$55,"&gt;="&amp;B207)=0,"비용 설정 필요",IF(COUNTIFS('3_채널별_비용설정'!$C$6:$C$55,D207,'3_채널별_비용설정'!$D$6:$D$55,"&lt;="&amp;B207,'3_채널별_비용설정'!$L$6:$L$55,"&gt;="&amp;B207)&gt;1,"기간 중복 확인","정상"))))</f>
      </c>
      <c r="K207" s="15" t="str">
        <f>IF(J207="","",IF(J207&lt;&gt;"정상","비용 설정 필요",SUMIFS('3_채널별_비용설정'!$F$6:$F$55,'3_채널별_비용설정'!$C$6:$C$55,D207,'3_채널별_비용설정'!$D$6:$D$55,"&lt;="&amp;B207,'3_채널별_비용설정'!$L$6:$L$55,"&gt;="&amp;B207)))</f>
      </c>
      <c r="L207" s="12" t="str">
        <f>IF(J207="","",IF(J207&lt;&gt;"정상","비용 설정 필요",ROUND(F207*K207,0)))</f>
      </c>
      <c r="M207" s="12" t="str">
        <f>IF(J207="","",IF(J207&lt;&gt;"정상","비용 설정 필요",SUMIFS('3_채널별_비용설정'!$J$6:$J$55,'3_채널별_비용설정'!$C$6:$C$55,D207,'3_채널별_비용설정'!$D$6:$D$55,"&lt;="&amp;B207,'3_채널별_비용설정'!$L$6:$L$55,"&gt;="&amp;B207)))</f>
      </c>
      <c r="N207" s="12" t="str">
        <f>IF(J207="","",IF(J207&lt;&gt;"정상","비용 설정 필요",E207*M207))</f>
      </c>
      <c r="O207" s="12" t="str">
        <f>IF(J207="","",IF(J207&lt;&gt;"정상","비용 설정 필요",G207+L207+N207+H207))</f>
      </c>
      <c r="P207" s="13" t="str">
        <f>IF(J207="","",IF(J207&lt;&gt;"정상","비용 설정 필요",F207-O207))</f>
      </c>
      <c r="Q207" s="14" t="str">
        <f>IF(J207="","",IF(J207&lt;&gt;"정상","비용 설정 필요",IFERROR(P207/F207,0)))</f>
      </c>
    </row>
    <row r="208">
      <c r="B208" s="7"/>
      <c r="C208" s="5"/>
      <c r="D208" s="5"/>
      <c r="E208" s="8"/>
      <c r="F208" s="8"/>
      <c r="G208" s="8"/>
      <c r="H208" s="8"/>
      <c r="I208" s="6"/>
      <c r="J208" s="10" t="str">
        <f>IF(AND(B208="",C208="",D208=""),"",IF(OR(B208="",D208=""),"비용 설정 필요",IF(COUNTIFS('3_채널별_비용설정'!$C$6:$C$55,D208,'3_채널별_비용설정'!$D$6:$D$55,"&lt;="&amp;B208,'3_채널별_비용설정'!$L$6:$L$55,"&gt;="&amp;B208)=0,"비용 설정 필요",IF(COUNTIFS('3_채널별_비용설정'!$C$6:$C$55,D208,'3_채널별_비용설정'!$D$6:$D$55,"&lt;="&amp;B208,'3_채널별_비용설정'!$L$6:$L$55,"&gt;="&amp;B208)&gt;1,"기간 중복 확인","정상"))))</f>
      </c>
      <c r="K208" s="15" t="str">
        <f>IF(J208="","",IF(J208&lt;&gt;"정상","비용 설정 필요",SUMIFS('3_채널별_비용설정'!$F$6:$F$55,'3_채널별_비용설정'!$C$6:$C$55,D208,'3_채널별_비용설정'!$D$6:$D$55,"&lt;="&amp;B208,'3_채널별_비용설정'!$L$6:$L$55,"&gt;="&amp;B208)))</f>
      </c>
      <c r="L208" s="12" t="str">
        <f>IF(J208="","",IF(J208&lt;&gt;"정상","비용 설정 필요",ROUND(F208*K208,0)))</f>
      </c>
      <c r="M208" s="12" t="str">
        <f>IF(J208="","",IF(J208&lt;&gt;"정상","비용 설정 필요",SUMIFS('3_채널별_비용설정'!$J$6:$J$55,'3_채널별_비용설정'!$C$6:$C$55,D208,'3_채널별_비용설정'!$D$6:$D$55,"&lt;="&amp;B208,'3_채널별_비용설정'!$L$6:$L$55,"&gt;="&amp;B208)))</f>
      </c>
      <c r="N208" s="12" t="str">
        <f>IF(J208="","",IF(J208&lt;&gt;"정상","비용 설정 필요",E208*M208))</f>
      </c>
      <c r="O208" s="12" t="str">
        <f>IF(J208="","",IF(J208&lt;&gt;"정상","비용 설정 필요",G208+L208+N208+H208))</f>
      </c>
      <c r="P208" s="13" t="str">
        <f>IF(J208="","",IF(J208&lt;&gt;"정상","비용 설정 필요",F208-O208))</f>
      </c>
      <c r="Q208" s="14" t="str">
        <f>IF(J208="","",IF(J208&lt;&gt;"정상","비용 설정 필요",IFERROR(P208/F208,0)))</f>
      </c>
    </row>
    <row r="209">
      <c r="B209" s="7"/>
      <c r="C209" s="5"/>
      <c r="D209" s="5"/>
      <c r="E209" s="8"/>
      <c r="F209" s="8"/>
      <c r="G209" s="8"/>
      <c r="H209" s="8"/>
      <c r="I209" s="6"/>
      <c r="J209" s="10" t="str">
        <f>IF(AND(B209="",C209="",D209=""),"",IF(OR(B209="",D209=""),"비용 설정 필요",IF(COUNTIFS('3_채널별_비용설정'!$C$6:$C$55,D209,'3_채널별_비용설정'!$D$6:$D$55,"&lt;="&amp;B209,'3_채널별_비용설정'!$L$6:$L$55,"&gt;="&amp;B209)=0,"비용 설정 필요",IF(COUNTIFS('3_채널별_비용설정'!$C$6:$C$55,D209,'3_채널별_비용설정'!$D$6:$D$55,"&lt;="&amp;B209,'3_채널별_비용설정'!$L$6:$L$55,"&gt;="&amp;B209)&gt;1,"기간 중복 확인","정상"))))</f>
      </c>
      <c r="K209" s="15" t="str">
        <f>IF(J209="","",IF(J209&lt;&gt;"정상","비용 설정 필요",SUMIFS('3_채널별_비용설정'!$F$6:$F$55,'3_채널별_비용설정'!$C$6:$C$55,D209,'3_채널별_비용설정'!$D$6:$D$55,"&lt;="&amp;B209,'3_채널별_비용설정'!$L$6:$L$55,"&gt;="&amp;B209)))</f>
      </c>
      <c r="L209" s="12" t="str">
        <f>IF(J209="","",IF(J209&lt;&gt;"정상","비용 설정 필요",ROUND(F209*K209,0)))</f>
      </c>
      <c r="M209" s="12" t="str">
        <f>IF(J209="","",IF(J209&lt;&gt;"정상","비용 설정 필요",SUMIFS('3_채널별_비용설정'!$J$6:$J$55,'3_채널별_비용설정'!$C$6:$C$55,D209,'3_채널별_비용설정'!$D$6:$D$55,"&lt;="&amp;B209,'3_채널별_비용설정'!$L$6:$L$55,"&gt;="&amp;B209)))</f>
      </c>
      <c r="N209" s="12" t="str">
        <f>IF(J209="","",IF(J209&lt;&gt;"정상","비용 설정 필요",E209*M209))</f>
      </c>
      <c r="O209" s="12" t="str">
        <f>IF(J209="","",IF(J209&lt;&gt;"정상","비용 설정 필요",G209+L209+N209+H209))</f>
      </c>
      <c r="P209" s="13" t="str">
        <f>IF(J209="","",IF(J209&lt;&gt;"정상","비용 설정 필요",F209-O209))</f>
      </c>
      <c r="Q209" s="14" t="str">
        <f>IF(J209="","",IF(J209&lt;&gt;"정상","비용 설정 필요",IFERROR(P209/F209,0)))</f>
      </c>
    </row>
    <row r="210">
      <c r="B210" s="7"/>
      <c r="C210" s="5"/>
      <c r="D210" s="5"/>
      <c r="E210" s="8"/>
      <c r="F210" s="8"/>
      <c r="G210" s="8"/>
      <c r="H210" s="8"/>
      <c r="I210" s="6"/>
      <c r="J210" s="10" t="str">
        <f>IF(AND(B210="",C210="",D210=""),"",IF(OR(B210="",D210=""),"비용 설정 필요",IF(COUNTIFS('3_채널별_비용설정'!$C$6:$C$55,D210,'3_채널별_비용설정'!$D$6:$D$55,"&lt;="&amp;B210,'3_채널별_비용설정'!$L$6:$L$55,"&gt;="&amp;B210)=0,"비용 설정 필요",IF(COUNTIFS('3_채널별_비용설정'!$C$6:$C$55,D210,'3_채널별_비용설정'!$D$6:$D$55,"&lt;="&amp;B210,'3_채널별_비용설정'!$L$6:$L$55,"&gt;="&amp;B210)&gt;1,"기간 중복 확인","정상"))))</f>
      </c>
      <c r="K210" s="15" t="str">
        <f>IF(J210="","",IF(J210&lt;&gt;"정상","비용 설정 필요",SUMIFS('3_채널별_비용설정'!$F$6:$F$55,'3_채널별_비용설정'!$C$6:$C$55,D210,'3_채널별_비용설정'!$D$6:$D$55,"&lt;="&amp;B210,'3_채널별_비용설정'!$L$6:$L$55,"&gt;="&amp;B210)))</f>
      </c>
      <c r="L210" s="12" t="str">
        <f>IF(J210="","",IF(J210&lt;&gt;"정상","비용 설정 필요",ROUND(F210*K210,0)))</f>
      </c>
      <c r="M210" s="12" t="str">
        <f>IF(J210="","",IF(J210&lt;&gt;"정상","비용 설정 필요",SUMIFS('3_채널별_비용설정'!$J$6:$J$55,'3_채널별_비용설정'!$C$6:$C$55,D210,'3_채널별_비용설정'!$D$6:$D$55,"&lt;="&amp;B210,'3_채널별_비용설정'!$L$6:$L$55,"&gt;="&amp;B210)))</f>
      </c>
      <c r="N210" s="12" t="str">
        <f>IF(J210="","",IF(J210&lt;&gt;"정상","비용 설정 필요",E210*M210))</f>
      </c>
      <c r="O210" s="12" t="str">
        <f>IF(J210="","",IF(J210&lt;&gt;"정상","비용 설정 필요",G210+L210+N210+H210))</f>
      </c>
      <c r="P210" s="13" t="str">
        <f>IF(J210="","",IF(J210&lt;&gt;"정상","비용 설정 필요",F210-O210))</f>
      </c>
      <c r="Q210" s="14" t="str">
        <f>IF(J210="","",IF(J210&lt;&gt;"정상","비용 설정 필요",IFERROR(P210/F210,0)))</f>
      </c>
    </row>
    <row r="211">
      <c r="B211" s="7"/>
      <c r="C211" s="5"/>
      <c r="D211" s="5"/>
      <c r="E211" s="8"/>
      <c r="F211" s="8"/>
      <c r="G211" s="8"/>
      <c r="H211" s="8"/>
      <c r="I211" s="6"/>
      <c r="J211" s="10" t="str">
        <f>IF(AND(B211="",C211="",D211=""),"",IF(OR(B211="",D211=""),"비용 설정 필요",IF(COUNTIFS('3_채널별_비용설정'!$C$6:$C$55,D211,'3_채널별_비용설정'!$D$6:$D$55,"&lt;="&amp;B211,'3_채널별_비용설정'!$L$6:$L$55,"&gt;="&amp;B211)=0,"비용 설정 필요",IF(COUNTIFS('3_채널별_비용설정'!$C$6:$C$55,D211,'3_채널별_비용설정'!$D$6:$D$55,"&lt;="&amp;B211,'3_채널별_비용설정'!$L$6:$L$55,"&gt;="&amp;B211)&gt;1,"기간 중복 확인","정상"))))</f>
      </c>
      <c r="K211" s="15" t="str">
        <f>IF(J211="","",IF(J211&lt;&gt;"정상","비용 설정 필요",SUMIFS('3_채널별_비용설정'!$F$6:$F$55,'3_채널별_비용설정'!$C$6:$C$55,D211,'3_채널별_비용설정'!$D$6:$D$55,"&lt;="&amp;B211,'3_채널별_비용설정'!$L$6:$L$55,"&gt;="&amp;B211)))</f>
      </c>
      <c r="L211" s="12" t="str">
        <f>IF(J211="","",IF(J211&lt;&gt;"정상","비용 설정 필요",ROUND(F211*K211,0)))</f>
      </c>
      <c r="M211" s="12" t="str">
        <f>IF(J211="","",IF(J211&lt;&gt;"정상","비용 설정 필요",SUMIFS('3_채널별_비용설정'!$J$6:$J$55,'3_채널별_비용설정'!$C$6:$C$55,D211,'3_채널별_비용설정'!$D$6:$D$55,"&lt;="&amp;B211,'3_채널별_비용설정'!$L$6:$L$55,"&gt;="&amp;B211)))</f>
      </c>
      <c r="N211" s="12" t="str">
        <f>IF(J211="","",IF(J211&lt;&gt;"정상","비용 설정 필요",E211*M211))</f>
      </c>
      <c r="O211" s="12" t="str">
        <f>IF(J211="","",IF(J211&lt;&gt;"정상","비용 설정 필요",G211+L211+N211+H211))</f>
      </c>
      <c r="P211" s="13" t="str">
        <f>IF(J211="","",IF(J211&lt;&gt;"정상","비용 설정 필요",F211-O211))</f>
      </c>
      <c r="Q211" s="14" t="str">
        <f>IF(J211="","",IF(J211&lt;&gt;"정상","비용 설정 필요",IFERROR(P211/F211,0)))</f>
      </c>
    </row>
    <row r="212">
      <c r="B212" s="7"/>
      <c r="C212" s="5"/>
      <c r="D212" s="5"/>
      <c r="E212" s="8"/>
      <c r="F212" s="8"/>
      <c r="G212" s="8"/>
      <c r="H212" s="8"/>
      <c r="I212" s="6"/>
      <c r="J212" s="10" t="str">
        <f>IF(AND(B212="",C212="",D212=""),"",IF(OR(B212="",D212=""),"비용 설정 필요",IF(COUNTIFS('3_채널별_비용설정'!$C$6:$C$55,D212,'3_채널별_비용설정'!$D$6:$D$55,"&lt;="&amp;B212,'3_채널별_비용설정'!$L$6:$L$55,"&gt;="&amp;B212)=0,"비용 설정 필요",IF(COUNTIFS('3_채널별_비용설정'!$C$6:$C$55,D212,'3_채널별_비용설정'!$D$6:$D$55,"&lt;="&amp;B212,'3_채널별_비용설정'!$L$6:$L$55,"&gt;="&amp;B212)&gt;1,"기간 중복 확인","정상"))))</f>
      </c>
      <c r="K212" s="15" t="str">
        <f>IF(J212="","",IF(J212&lt;&gt;"정상","비용 설정 필요",SUMIFS('3_채널별_비용설정'!$F$6:$F$55,'3_채널별_비용설정'!$C$6:$C$55,D212,'3_채널별_비용설정'!$D$6:$D$55,"&lt;="&amp;B212,'3_채널별_비용설정'!$L$6:$L$55,"&gt;="&amp;B212)))</f>
      </c>
      <c r="L212" s="12" t="str">
        <f>IF(J212="","",IF(J212&lt;&gt;"정상","비용 설정 필요",ROUND(F212*K212,0)))</f>
      </c>
      <c r="M212" s="12" t="str">
        <f>IF(J212="","",IF(J212&lt;&gt;"정상","비용 설정 필요",SUMIFS('3_채널별_비용설정'!$J$6:$J$55,'3_채널별_비용설정'!$C$6:$C$55,D212,'3_채널별_비용설정'!$D$6:$D$55,"&lt;="&amp;B212,'3_채널별_비용설정'!$L$6:$L$55,"&gt;="&amp;B212)))</f>
      </c>
      <c r="N212" s="12" t="str">
        <f>IF(J212="","",IF(J212&lt;&gt;"정상","비용 설정 필요",E212*M212))</f>
      </c>
      <c r="O212" s="12" t="str">
        <f>IF(J212="","",IF(J212&lt;&gt;"정상","비용 설정 필요",G212+L212+N212+H212))</f>
      </c>
      <c r="P212" s="13" t="str">
        <f>IF(J212="","",IF(J212&lt;&gt;"정상","비용 설정 필요",F212-O212))</f>
      </c>
      <c r="Q212" s="14" t="str">
        <f>IF(J212="","",IF(J212&lt;&gt;"정상","비용 설정 필요",IFERROR(P212/F212,0)))</f>
      </c>
    </row>
    <row r="213">
      <c r="B213" s="7"/>
      <c r="C213" s="5"/>
      <c r="D213" s="5"/>
      <c r="E213" s="8"/>
      <c r="F213" s="8"/>
      <c r="G213" s="8"/>
      <c r="H213" s="8"/>
      <c r="I213" s="6"/>
      <c r="J213" s="10" t="str">
        <f>IF(AND(B213="",C213="",D213=""),"",IF(OR(B213="",D213=""),"비용 설정 필요",IF(COUNTIFS('3_채널별_비용설정'!$C$6:$C$55,D213,'3_채널별_비용설정'!$D$6:$D$55,"&lt;="&amp;B213,'3_채널별_비용설정'!$L$6:$L$55,"&gt;="&amp;B213)=0,"비용 설정 필요",IF(COUNTIFS('3_채널별_비용설정'!$C$6:$C$55,D213,'3_채널별_비용설정'!$D$6:$D$55,"&lt;="&amp;B213,'3_채널별_비용설정'!$L$6:$L$55,"&gt;="&amp;B213)&gt;1,"기간 중복 확인","정상"))))</f>
      </c>
      <c r="K213" s="15" t="str">
        <f>IF(J213="","",IF(J213&lt;&gt;"정상","비용 설정 필요",SUMIFS('3_채널별_비용설정'!$F$6:$F$55,'3_채널별_비용설정'!$C$6:$C$55,D213,'3_채널별_비용설정'!$D$6:$D$55,"&lt;="&amp;B213,'3_채널별_비용설정'!$L$6:$L$55,"&gt;="&amp;B213)))</f>
      </c>
      <c r="L213" s="12" t="str">
        <f>IF(J213="","",IF(J213&lt;&gt;"정상","비용 설정 필요",ROUND(F213*K213,0)))</f>
      </c>
      <c r="M213" s="12" t="str">
        <f>IF(J213="","",IF(J213&lt;&gt;"정상","비용 설정 필요",SUMIFS('3_채널별_비용설정'!$J$6:$J$55,'3_채널별_비용설정'!$C$6:$C$55,D213,'3_채널별_비용설정'!$D$6:$D$55,"&lt;="&amp;B213,'3_채널별_비용설정'!$L$6:$L$55,"&gt;="&amp;B213)))</f>
      </c>
      <c r="N213" s="12" t="str">
        <f>IF(J213="","",IF(J213&lt;&gt;"정상","비용 설정 필요",E213*M213))</f>
      </c>
      <c r="O213" s="12" t="str">
        <f>IF(J213="","",IF(J213&lt;&gt;"정상","비용 설정 필요",G213+L213+N213+H213))</f>
      </c>
      <c r="P213" s="13" t="str">
        <f>IF(J213="","",IF(J213&lt;&gt;"정상","비용 설정 필요",F213-O213))</f>
      </c>
      <c r="Q213" s="14" t="str">
        <f>IF(J213="","",IF(J213&lt;&gt;"정상","비용 설정 필요",IFERROR(P213/F213,0)))</f>
      </c>
    </row>
    <row r="214">
      <c r="B214" s="7"/>
      <c r="C214" s="5"/>
      <c r="D214" s="5"/>
      <c r="E214" s="8"/>
      <c r="F214" s="8"/>
      <c r="G214" s="8"/>
      <c r="H214" s="8"/>
      <c r="I214" s="6"/>
      <c r="J214" s="10" t="str">
        <f>IF(AND(B214="",C214="",D214=""),"",IF(OR(B214="",D214=""),"비용 설정 필요",IF(COUNTIFS('3_채널별_비용설정'!$C$6:$C$55,D214,'3_채널별_비용설정'!$D$6:$D$55,"&lt;="&amp;B214,'3_채널별_비용설정'!$L$6:$L$55,"&gt;="&amp;B214)=0,"비용 설정 필요",IF(COUNTIFS('3_채널별_비용설정'!$C$6:$C$55,D214,'3_채널별_비용설정'!$D$6:$D$55,"&lt;="&amp;B214,'3_채널별_비용설정'!$L$6:$L$55,"&gt;="&amp;B214)&gt;1,"기간 중복 확인","정상"))))</f>
      </c>
      <c r="K214" s="15" t="str">
        <f>IF(J214="","",IF(J214&lt;&gt;"정상","비용 설정 필요",SUMIFS('3_채널별_비용설정'!$F$6:$F$55,'3_채널별_비용설정'!$C$6:$C$55,D214,'3_채널별_비용설정'!$D$6:$D$55,"&lt;="&amp;B214,'3_채널별_비용설정'!$L$6:$L$55,"&gt;="&amp;B214)))</f>
      </c>
      <c r="L214" s="12" t="str">
        <f>IF(J214="","",IF(J214&lt;&gt;"정상","비용 설정 필요",ROUND(F214*K214,0)))</f>
      </c>
      <c r="M214" s="12" t="str">
        <f>IF(J214="","",IF(J214&lt;&gt;"정상","비용 설정 필요",SUMIFS('3_채널별_비용설정'!$J$6:$J$55,'3_채널별_비용설정'!$C$6:$C$55,D214,'3_채널별_비용설정'!$D$6:$D$55,"&lt;="&amp;B214,'3_채널별_비용설정'!$L$6:$L$55,"&gt;="&amp;B214)))</f>
      </c>
      <c r="N214" s="12" t="str">
        <f>IF(J214="","",IF(J214&lt;&gt;"정상","비용 설정 필요",E214*M214))</f>
      </c>
      <c r="O214" s="12" t="str">
        <f>IF(J214="","",IF(J214&lt;&gt;"정상","비용 설정 필요",G214+L214+N214+H214))</f>
      </c>
      <c r="P214" s="13" t="str">
        <f>IF(J214="","",IF(J214&lt;&gt;"정상","비용 설정 필요",F214-O214))</f>
      </c>
      <c r="Q214" s="14" t="str">
        <f>IF(J214="","",IF(J214&lt;&gt;"정상","비용 설정 필요",IFERROR(P214/F214,0)))</f>
      </c>
    </row>
    <row r="215">
      <c r="B215" s="7"/>
      <c r="C215" s="5"/>
      <c r="D215" s="5"/>
      <c r="E215" s="8"/>
      <c r="F215" s="8"/>
      <c r="G215" s="8"/>
      <c r="H215" s="8"/>
      <c r="I215" s="6"/>
      <c r="J215" s="10" t="str">
        <f>IF(AND(B215="",C215="",D215=""),"",IF(OR(B215="",D215=""),"비용 설정 필요",IF(COUNTIFS('3_채널별_비용설정'!$C$6:$C$55,D215,'3_채널별_비용설정'!$D$6:$D$55,"&lt;="&amp;B215,'3_채널별_비용설정'!$L$6:$L$55,"&gt;="&amp;B215)=0,"비용 설정 필요",IF(COUNTIFS('3_채널별_비용설정'!$C$6:$C$55,D215,'3_채널별_비용설정'!$D$6:$D$55,"&lt;="&amp;B215,'3_채널별_비용설정'!$L$6:$L$55,"&gt;="&amp;B215)&gt;1,"기간 중복 확인","정상"))))</f>
      </c>
      <c r="K215" s="15" t="str">
        <f>IF(J215="","",IF(J215&lt;&gt;"정상","비용 설정 필요",SUMIFS('3_채널별_비용설정'!$F$6:$F$55,'3_채널별_비용설정'!$C$6:$C$55,D215,'3_채널별_비용설정'!$D$6:$D$55,"&lt;="&amp;B215,'3_채널별_비용설정'!$L$6:$L$55,"&gt;="&amp;B215)))</f>
      </c>
      <c r="L215" s="12" t="str">
        <f>IF(J215="","",IF(J215&lt;&gt;"정상","비용 설정 필요",ROUND(F215*K215,0)))</f>
      </c>
      <c r="M215" s="12" t="str">
        <f>IF(J215="","",IF(J215&lt;&gt;"정상","비용 설정 필요",SUMIFS('3_채널별_비용설정'!$J$6:$J$55,'3_채널별_비용설정'!$C$6:$C$55,D215,'3_채널별_비용설정'!$D$6:$D$55,"&lt;="&amp;B215,'3_채널별_비용설정'!$L$6:$L$55,"&gt;="&amp;B215)))</f>
      </c>
      <c r="N215" s="12" t="str">
        <f>IF(J215="","",IF(J215&lt;&gt;"정상","비용 설정 필요",E215*M215))</f>
      </c>
      <c r="O215" s="12" t="str">
        <f>IF(J215="","",IF(J215&lt;&gt;"정상","비용 설정 필요",G215+L215+N215+H215))</f>
      </c>
      <c r="P215" s="13" t="str">
        <f>IF(J215="","",IF(J215&lt;&gt;"정상","비용 설정 필요",F215-O215))</f>
      </c>
      <c r="Q215" s="14" t="str">
        <f>IF(J215="","",IF(J215&lt;&gt;"정상","비용 설정 필요",IFERROR(P215/F215,0)))</f>
      </c>
    </row>
    <row r="216">
      <c r="B216" s="7"/>
      <c r="C216" s="5"/>
      <c r="D216" s="5"/>
      <c r="E216" s="8"/>
      <c r="F216" s="8"/>
      <c r="G216" s="8"/>
      <c r="H216" s="8"/>
      <c r="I216" s="6"/>
      <c r="J216" s="10" t="str">
        <f>IF(AND(B216="",C216="",D216=""),"",IF(OR(B216="",D216=""),"비용 설정 필요",IF(COUNTIFS('3_채널별_비용설정'!$C$6:$C$55,D216,'3_채널별_비용설정'!$D$6:$D$55,"&lt;="&amp;B216,'3_채널별_비용설정'!$L$6:$L$55,"&gt;="&amp;B216)=0,"비용 설정 필요",IF(COUNTIFS('3_채널별_비용설정'!$C$6:$C$55,D216,'3_채널별_비용설정'!$D$6:$D$55,"&lt;="&amp;B216,'3_채널별_비용설정'!$L$6:$L$55,"&gt;="&amp;B216)&gt;1,"기간 중복 확인","정상"))))</f>
      </c>
      <c r="K216" s="15" t="str">
        <f>IF(J216="","",IF(J216&lt;&gt;"정상","비용 설정 필요",SUMIFS('3_채널별_비용설정'!$F$6:$F$55,'3_채널별_비용설정'!$C$6:$C$55,D216,'3_채널별_비용설정'!$D$6:$D$55,"&lt;="&amp;B216,'3_채널별_비용설정'!$L$6:$L$55,"&gt;="&amp;B216)))</f>
      </c>
      <c r="L216" s="12" t="str">
        <f>IF(J216="","",IF(J216&lt;&gt;"정상","비용 설정 필요",ROUND(F216*K216,0)))</f>
      </c>
      <c r="M216" s="12" t="str">
        <f>IF(J216="","",IF(J216&lt;&gt;"정상","비용 설정 필요",SUMIFS('3_채널별_비용설정'!$J$6:$J$55,'3_채널별_비용설정'!$C$6:$C$55,D216,'3_채널별_비용설정'!$D$6:$D$55,"&lt;="&amp;B216,'3_채널별_비용설정'!$L$6:$L$55,"&gt;="&amp;B216)))</f>
      </c>
      <c r="N216" s="12" t="str">
        <f>IF(J216="","",IF(J216&lt;&gt;"정상","비용 설정 필요",E216*M216))</f>
      </c>
      <c r="O216" s="12" t="str">
        <f>IF(J216="","",IF(J216&lt;&gt;"정상","비용 설정 필요",G216+L216+N216+H216))</f>
      </c>
      <c r="P216" s="13" t="str">
        <f>IF(J216="","",IF(J216&lt;&gt;"정상","비용 설정 필요",F216-O216))</f>
      </c>
      <c r="Q216" s="14" t="str">
        <f>IF(J216="","",IF(J216&lt;&gt;"정상","비용 설정 필요",IFERROR(P216/F216,0)))</f>
      </c>
    </row>
    <row r="217">
      <c r="B217" s="7"/>
      <c r="C217" s="5"/>
      <c r="D217" s="5"/>
      <c r="E217" s="8"/>
      <c r="F217" s="8"/>
      <c r="G217" s="8"/>
      <c r="H217" s="8"/>
      <c r="I217" s="6"/>
      <c r="J217" s="10" t="str">
        <f>IF(AND(B217="",C217="",D217=""),"",IF(OR(B217="",D217=""),"비용 설정 필요",IF(COUNTIFS('3_채널별_비용설정'!$C$6:$C$55,D217,'3_채널별_비용설정'!$D$6:$D$55,"&lt;="&amp;B217,'3_채널별_비용설정'!$L$6:$L$55,"&gt;="&amp;B217)=0,"비용 설정 필요",IF(COUNTIFS('3_채널별_비용설정'!$C$6:$C$55,D217,'3_채널별_비용설정'!$D$6:$D$55,"&lt;="&amp;B217,'3_채널별_비용설정'!$L$6:$L$55,"&gt;="&amp;B217)&gt;1,"기간 중복 확인","정상"))))</f>
      </c>
      <c r="K217" s="15" t="str">
        <f>IF(J217="","",IF(J217&lt;&gt;"정상","비용 설정 필요",SUMIFS('3_채널별_비용설정'!$F$6:$F$55,'3_채널별_비용설정'!$C$6:$C$55,D217,'3_채널별_비용설정'!$D$6:$D$55,"&lt;="&amp;B217,'3_채널별_비용설정'!$L$6:$L$55,"&gt;="&amp;B217)))</f>
      </c>
      <c r="L217" s="12" t="str">
        <f>IF(J217="","",IF(J217&lt;&gt;"정상","비용 설정 필요",ROUND(F217*K217,0)))</f>
      </c>
      <c r="M217" s="12" t="str">
        <f>IF(J217="","",IF(J217&lt;&gt;"정상","비용 설정 필요",SUMIFS('3_채널별_비용설정'!$J$6:$J$55,'3_채널별_비용설정'!$C$6:$C$55,D217,'3_채널별_비용설정'!$D$6:$D$55,"&lt;="&amp;B217,'3_채널별_비용설정'!$L$6:$L$55,"&gt;="&amp;B217)))</f>
      </c>
      <c r="N217" s="12" t="str">
        <f>IF(J217="","",IF(J217&lt;&gt;"정상","비용 설정 필요",E217*M217))</f>
      </c>
      <c r="O217" s="12" t="str">
        <f>IF(J217="","",IF(J217&lt;&gt;"정상","비용 설정 필요",G217+L217+N217+H217))</f>
      </c>
      <c r="P217" s="13" t="str">
        <f>IF(J217="","",IF(J217&lt;&gt;"정상","비용 설정 필요",F217-O217))</f>
      </c>
      <c r="Q217" s="14" t="str">
        <f>IF(J217="","",IF(J217&lt;&gt;"정상","비용 설정 필요",IFERROR(P217/F217,0)))</f>
      </c>
    </row>
    <row r="218">
      <c r="B218" s="7"/>
      <c r="C218" s="5"/>
      <c r="D218" s="5"/>
      <c r="E218" s="8"/>
      <c r="F218" s="8"/>
      <c r="G218" s="8"/>
      <c r="H218" s="8"/>
      <c r="I218" s="6"/>
      <c r="J218" s="10" t="str">
        <f>IF(AND(B218="",C218="",D218=""),"",IF(OR(B218="",D218=""),"비용 설정 필요",IF(COUNTIFS('3_채널별_비용설정'!$C$6:$C$55,D218,'3_채널별_비용설정'!$D$6:$D$55,"&lt;="&amp;B218,'3_채널별_비용설정'!$L$6:$L$55,"&gt;="&amp;B218)=0,"비용 설정 필요",IF(COUNTIFS('3_채널별_비용설정'!$C$6:$C$55,D218,'3_채널별_비용설정'!$D$6:$D$55,"&lt;="&amp;B218,'3_채널별_비용설정'!$L$6:$L$55,"&gt;="&amp;B218)&gt;1,"기간 중복 확인","정상"))))</f>
      </c>
      <c r="K218" s="15" t="str">
        <f>IF(J218="","",IF(J218&lt;&gt;"정상","비용 설정 필요",SUMIFS('3_채널별_비용설정'!$F$6:$F$55,'3_채널별_비용설정'!$C$6:$C$55,D218,'3_채널별_비용설정'!$D$6:$D$55,"&lt;="&amp;B218,'3_채널별_비용설정'!$L$6:$L$55,"&gt;="&amp;B218)))</f>
      </c>
      <c r="L218" s="12" t="str">
        <f>IF(J218="","",IF(J218&lt;&gt;"정상","비용 설정 필요",ROUND(F218*K218,0)))</f>
      </c>
      <c r="M218" s="12" t="str">
        <f>IF(J218="","",IF(J218&lt;&gt;"정상","비용 설정 필요",SUMIFS('3_채널별_비용설정'!$J$6:$J$55,'3_채널별_비용설정'!$C$6:$C$55,D218,'3_채널별_비용설정'!$D$6:$D$55,"&lt;="&amp;B218,'3_채널별_비용설정'!$L$6:$L$55,"&gt;="&amp;B218)))</f>
      </c>
      <c r="N218" s="12" t="str">
        <f>IF(J218="","",IF(J218&lt;&gt;"정상","비용 설정 필요",E218*M218))</f>
      </c>
      <c r="O218" s="12" t="str">
        <f>IF(J218="","",IF(J218&lt;&gt;"정상","비용 설정 필요",G218+L218+N218+H218))</f>
      </c>
      <c r="P218" s="13" t="str">
        <f>IF(J218="","",IF(J218&lt;&gt;"정상","비용 설정 필요",F218-O218))</f>
      </c>
      <c r="Q218" s="14" t="str">
        <f>IF(J218="","",IF(J218&lt;&gt;"정상","비용 설정 필요",IFERROR(P218/F218,0)))</f>
      </c>
    </row>
    <row r="219">
      <c r="B219" s="7"/>
      <c r="C219" s="5"/>
      <c r="D219" s="5"/>
      <c r="E219" s="8"/>
      <c r="F219" s="8"/>
      <c r="G219" s="8"/>
      <c r="H219" s="8"/>
      <c r="I219" s="6"/>
      <c r="J219" s="10" t="str">
        <f>IF(AND(B219="",C219="",D219=""),"",IF(OR(B219="",D219=""),"비용 설정 필요",IF(COUNTIFS('3_채널별_비용설정'!$C$6:$C$55,D219,'3_채널별_비용설정'!$D$6:$D$55,"&lt;="&amp;B219,'3_채널별_비용설정'!$L$6:$L$55,"&gt;="&amp;B219)=0,"비용 설정 필요",IF(COUNTIFS('3_채널별_비용설정'!$C$6:$C$55,D219,'3_채널별_비용설정'!$D$6:$D$55,"&lt;="&amp;B219,'3_채널별_비용설정'!$L$6:$L$55,"&gt;="&amp;B219)&gt;1,"기간 중복 확인","정상"))))</f>
      </c>
      <c r="K219" s="15" t="str">
        <f>IF(J219="","",IF(J219&lt;&gt;"정상","비용 설정 필요",SUMIFS('3_채널별_비용설정'!$F$6:$F$55,'3_채널별_비용설정'!$C$6:$C$55,D219,'3_채널별_비용설정'!$D$6:$D$55,"&lt;="&amp;B219,'3_채널별_비용설정'!$L$6:$L$55,"&gt;="&amp;B219)))</f>
      </c>
      <c r="L219" s="12" t="str">
        <f>IF(J219="","",IF(J219&lt;&gt;"정상","비용 설정 필요",ROUND(F219*K219,0)))</f>
      </c>
      <c r="M219" s="12" t="str">
        <f>IF(J219="","",IF(J219&lt;&gt;"정상","비용 설정 필요",SUMIFS('3_채널별_비용설정'!$J$6:$J$55,'3_채널별_비용설정'!$C$6:$C$55,D219,'3_채널별_비용설정'!$D$6:$D$55,"&lt;="&amp;B219,'3_채널별_비용설정'!$L$6:$L$55,"&gt;="&amp;B219)))</f>
      </c>
      <c r="N219" s="12" t="str">
        <f>IF(J219="","",IF(J219&lt;&gt;"정상","비용 설정 필요",E219*M219))</f>
      </c>
      <c r="O219" s="12" t="str">
        <f>IF(J219="","",IF(J219&lt;&gt;"정상","비용 설정 필요",G219+L219+N219+H219))</f>
      </c>
      <c r="P219" s="13" t="str">
        <f>IF(J219="","",IF(J219&lt;&gt;"정상","비용 설정 필요",F219-O219))</f>
      </c>
      <c r="Q219" s="14" t="str">
        <f>IF(J219="","",IF(J219&lt;&gt;"정상","비용 설정 필요",IFERROR(P219/F219,0)))</f>
      </c>
    </row>
    <row r="220">
      <c r="B220" s="7"/>
      <c r="C220" s="5"/>
      <c r="D220" s="5"/>
      <c r="E220" s="8"/>
      <c r="F220" s="8"/>
      <c r="G220" s="8"/>
      <c r="H220" s="8"/>
      <c r="I220" s="6"/>
      <c r="J220" s="10" t="str">
        <f>IF(AND(B220="",C220="",D220=""),"",IF(OR(B220="",D220=""),"비용 설정 필요",IF(COUNTIFS('3_채널별_비용설정'!$C$6:$C$55,D220,'3_채널별_비용설정'!$D$6:$D$55,"&lt;="&amp;B220,'3_채널별_비용설정'!$L$6:$L$55,"&gt;="&amp;B220)=0,"비용 설정 필요",IF(COUNTIFS('3_채널별_비용설정'!$C$6:$C$55,D220,'3_채널별_비용설정'!$D$6:$D$55,"&lt;="&amp;B220,'3_채널별_비용설정'!$L$6:$L$55,"&gt;="&amp;B220)&gt;1,"기간 중복 확인","정상"))))</f>
      </c>
      <c r="K220" s="15" t="str">
        <f>IF(J220="","",IF(J220&lt;&gt;"정상","비용 설정 필요",SUMIFS('3_채널별_비용설정'!$F$6:$F$55,'3_채널별_비용설정'!$C$6:$C$55,D220,'3_채널별_비용설정'!$D$6:$D$55,"&lt;="&amp;B220,'3_채널별_비용설정'!$L$6:$L$55,"&gt;="&amp;B220)))</f>
      </c>
      <c r="L220" s="12" t="str">
        <f>IF(J220="","",IF(J220&lt;&gt;"정상","비용 설정 필요",ROUND(F220*K220,0)))</f>
      </c>
      <c r="M220" s="12" t="str">
        <f>IF(J220="","",IF(J220&lt;&gt;"정상","비용 설정 필요",SUMIFS('3_채널별_비용설정'!$J$6:$J$55,'3_채널별_비용설정'!$C$6:$C$55,D220,'3_채널별_비용설정'!$D$6:$D$55,"&lt;="&amp;B220,'3_채널별_비용설정'!$L$6:$L$55,"&gt;="&amp;B220)))</f>
      </c>
      <c r="N220" s="12" t="str">
        <f>IF(J220="","",IF(J220&lt;&gt;"정상","비용 설정 필요",E220*M220))</f>
      </c>
      <c r="O220" s="12" t="str">
        <f>IF(J220="","",IF(J220&lt;&gt;"정상","비용 설정 필요",G220+L220+N220+H220))</f>
      </c>
      <c r="P220" s="13" t="str">
        <f>IF(J220="","",IF(J220&lt;&gt;"정상","비용 설정 필요",F220-O220))</f>
      </c>
      <c r="Q220" s="14" t="str">
        <f>IF(J220="","",IF(J220&lt;&gt;"정상","비용 설정 필요",IFERROR(P220/F220,0)))</f>
      </c>
    </row>
    <row r="221">
      <c r="B221" s="7"/>
      <c r="C221" s="5"/>
      <c r="D221" s="5"/>
      <c r="E221" s="8"/>
      <c r="F221" s="8"/>
      <c r="G221" s="8"/>
      <c r="H221" s="8"/>
      <c r="I221" s="6"/>
      <c r="J221" s="10" t="str">
        <f>IF(AND(B221="",C221="",D221=""),"",IF(OR(B221="",D221=""),"비용 설정 필요",IF(COUNTIFS('3_채널별_비용설정'!$C$6:$C$55,D221,'3_채널별_비용설정'!$D$6:$D$55,"&lt;="&amp;B221,'3_채널별_비용설정'!$L$6:$L$55,"&gt;="&amp;B221)=0,"비용 설정 필요",IF(COUNTIFS('3_채널별_비용설정'!$C$6:$C$55,D221,'3_채널별_비용설정'!$D$6:$D$55,"&lt;="&amp;B221,'3_채널별_비용설정'!$L$6:$L$55,"&gt;="&amp;B221)&gt;1,"기간 중복 확인","정상"))))</f>
      </c>
      <c r="K221" s="15" t="str">
        <f>IF(J221="","",IF(J221&lt;&gt;"정상","비용 설정 필요",SUMIFS('3_채널별_비용설정'!$F$6:$F$55,'3_채널별_비용설정'!$C$6:$C$55,D221,'3_채널별_비용설정'!$D$6:$D$55,"&lt;="&amp;B221,'3_채널별_비용설정'!$L$6:$L$55,"&gt;="&amp;B221)))</f>
      </c>
      <c r="L221" s="12" t="str">
        <f>IF(J221="","",IF(J221&lt;&gt;"정상","비용 설정 필요",ROUND(F221*K221,0)))</f>
      </c>
      <c r="M221" s="12" t="str">
        <f>IF(J221="","",IF(J221&lt;&gt;"정상","비용 설정 필요",SUMIFS('3_채널별_비용설정'!$J$6:$J$55,'3_채널별_비용설정'!$C$6:$C$55,D221,'3_채널별_비용설정'!$D$6:$D$55,"&lt;="&amp;B221,'3_채널별_비용설정'!$L$6:$L$55,"&gt;="&amp;B221)))</f>
      </c>
      <c r="N221" s="12" t="str">
        <f>IF(J221="","",IF(J221&lt;&gt;"정상","비용 설정 필요",E221*M221))</f>
      </c>
      <c r="O221" s="12" t="str">
        <f>IF(J221="","",IF(J221&lt;&gt;"정상","비용 설정 필요",G221+L221+N221+H221))</f>
      </c>
      <c r="P221" s="13" t="str">
        <f>IF(J221="","",IF(J221&lt;&gt;"정상","비용 설정 필요",F221-O221))</f>
      </c>
      <c r="Q221" s="14" t="str">
        <f>IF(J221="","",IF(J221&lt;&gt;"정상","비용 설정 필요",IFERROR(P221/F221,0)))</f>
      </c>
    </row>
    <row r="222">
      <c r="B222" s="7"/>
      <c r="C222" s="5"/>
      <c r="D222" s="5"/>
      <c r="E222" s="8"/>
      <c r="F222" s="8"/>
      <c r="G222" s="8"/>
      <c r="H222" s="8"/>
      <c r="I222" s="6"/>
      <c r="J222" s="10" t="str">
        <f>IF(AND(B222="",C222="",D222=""),"",IF(OR(B222="",D222=""),"비용 설정 필요",IF(COUNTIFS('3_채널별_비용설정'!$C$6:$C$55,D222,'3_채널별_비용설정'!$D$6:$D$55,"&lt;="&amp;B222,'3_채널별_비용설정'!$L$6:$L$55,"&gt;="&amp;B222)=0,"비용 설정 필요",IF(COUNTIFS('3_채널별_비용설정'!$C$6:$C$55,D222,'3_채널별_비용설정'!$D$6:$D$55,"&lt;="&amp;B222,'3_채널별_비용설정'!$L$6:$L$55,"&gt;="&amp;B222)&gt;1,"기간 중복 확인","정상"))))</f>
      </c>
      <c r="K222" s="15" t="str">
        <f>IF(J222="","",IF(J222&lt;&gt;"정상","비용 설정 필요",SUMIFS('3_채널별_비용설정'!$F$6:$F$55,'3_채널별_비용설정'!$C$6:$C$55,D222,'3_채널별_비용설정'!$D$6:$D$55,"&lt;="&amp;B222,'3_채널별_비용설정'!$L$6:$L$55,"&gt;="&amp;B222)))</f>
      </c>
      <c r="L222" s="12" t="str">
        <f>IF(J222="","",IF(J222&lt;&gt;"정상","비용 설정 필요",ROUND(F222*K222,0)))</f>
      </c>
      <c r="M222" s="12" t="str">
        <f>IF(J222="","",IF(J222&lt;&gt;"정상","비용 설정 필요",SUMIFS('3_채널별_비용설정'!$J$6:$J$55,'3_채널별_비용설정'!$C$6:$C$55,D222,'3_채널별_비용설정'!$D$6:$D$55,"&lt;="&amp;B222,'3_채널별_비용설정'!$L$6:$L$55,"&gt;="&amp;B222)))</f>
      </c>
      <c r="N222" s="12" t="str">
        <f>IF(J222="","",IF(J222&lt;&gt;"정상","비용 설정 필요",E222*M222))</f>
      </c>
      <c r="O222" s="12" t="str">
        <f>IF(J222="","",IF(J222&lt;&gt;"정상","비용 설정 필요",G222+L222+N222+H222))</f>
      </c>
      <c r="P222" s="13" t="str">
        <f>IF(J222="","",IF(J222&lt;&gt;"정상","비용 설정 필요",F222-O222))</f>
      </c>
      <c r="Q222" s="14" t="str">
        <f>IF(J222="","",IF(J222&lt;&gt;"정상","비용 설정 필요",IFERROR(P222/F222,0)))</f>
      </c>
    </row>
    <row r="223">
      <c r="B223" s="7"/>
      <c r="C223" s="5"/>
      <c r="D223" s="5"/>
      <c r="E223" s="8"/>
      <c r="F223" s="8"/>
      <c r="G223" s="8"/>
      <c r="H223" s="8"/>
      <c r="I223" s="6"/>
      <c r="J223" s="10" t="str">
        <f>IF(AND(B223="",C223="",D223=""),"",IF(OR(B223="",D223=""),"비용 설정 필요",IF(COUNTIFS('3_채널별_비용설정'!$C$6:$C$55,D223,'3_채널별_비용설정'!$D$6:$D$55,"&lt;="&amp;B223,'3_채널별_비용설정'!$L$6:$L$55,"&gt;="&amp;B223)=0,"비용 설정 필요",IF(COUNTIFS('3_채널별_비용설정'!$C$6:$C$55,D223,'3_채널별_비용설정'!$D$6:$D$55,"&lt;="&amp;B223,'3_채널별_비용설정'!$L$6:$L$55,"&gt;="&amp;B223)&gt;1,"기간 중복 확인","정상"))))</f>
      </c>
      <c r="K223" s="15" t="str">
        <f>IF(J223="","",IF(J223&lt;&gt;"정상","비용 설정 필요",SUMIFS('3_채널별_비용설정'!$F$6:$F$55,'3_채널별_비용설정'!$C$6:$C$55,D223,'3_채널별_비용설정'!$D$6:$D$55,"&lt;="&amp;B223,'3_채널별_비용설정'!$L$6:$L$55,"&gt;="&amp;B223)))</f>
      </c>
      <c r="L223" s="12" t="str">
        <f>IF(J223="","",IF(J223&lt;&gt;"정상","비용 설정 필요",ROUND(F223*K223,0)))</f>
      </c>
      <c r="M223" s="12" t="str">
        <f>IF(J223="","",IF(J223&lt;&gt;"정상","비용 설정 필요",SUMIFS('3_채널별_비용설정'!$J$6:$J$55,'3_채널별_비용설정'!$C$6:$C$55,D223,'3_채널별_비용설정'!$D$6:$D$55,"&lt;="&amp;B223,'3_채널별_비용설정'!$L$6:$L$55,"&gt;="&amp;B223)))</f>
      </c>
      <c r="N223" s="12" t="str">
        <f>IF(J223="","",IF(J223&lt;&gt;"정상","비용 설정 필요",E223*M223))</f>
      </c>
      <c r="O223" s="12" t="str">
        <f>IF(J223="","",IF(J223&lt;&gt;"정상","비용 설정 필요",G223+L223+N223+H223))</f>
      </c>
      <c r="P223" s="13" t="str">
        <f>IF(J223="","",IF(J223&lt;&gt;"정상","비용 설정 필요",F223-O223))</f>
      </c>
      <c r="Q223" s="14" t="str">
        <f>IF(J223="","",IF(J223&lt;&gt;"정상","비용 설정 필요",IFERROR(P223/F223,0)))</f>
      </c>
    </row>
    <row r="224">
      <c r="B224" s="7"/>
      <c r="C224" s="5"/>
      <c r="D224" s="5"/>
      <c r="E224" s="8"/>
      <c r="F224" s="8"/>
      <c r="G224" s="8"/>
      <c r="H224" s="8"/>
      <c r="I224" s="6"/>
      <c r="J224" s="10" t="str">
        <f>IF(AND(B224="",C224="",D224=""),"",IF(OR(B224="",D224=""),"비용 설정 필요",IF(COUNTIFS('3_채널별_비용설정'!$C$6:$C$55,D224,'3_채널별_비용설정'!$D$6:$D$55,"&lt;="&amp;B224,'3_채널별_비용설정'!$L$6:$L$55,"&gt;="&amp;B224)=0,"비용 설정 필요",IF(COUNTIFS('3_채널별_비용설정'!$C$6:$C$55,D224,'3_채널별_비용설정'!$D$6:$D$55,"&lt;="&amp;B224,'3_채널별_비용설정'!$L$6:$L$55,"&gt;="&amp;B224)&gt;1,"기간 중복 확인","정상"))))</f>
      </c>
      <c r="K224" s="15" t="str">
        <f>IF(J224="","",IF(J224&lt;&gt;"정상","비용 설정 필요",SUMIFS('3_채널별_비용설정'!$F$6:$F$55,'3_채널별_비용설정'!$C$6:$C$55,D224,'3_채널별_비용설정'!$D$6:$D$55,"&lt;="&amp;B224,'3_채널별_비용설정'!$L$6:$L$55,"&gt;="&amp;B224)))</f>
      </c>
      <c r="L224" s="12" t="str">
        <f>IF(J224="","",IF(J224&lt;&gt;"정상","비용 설정 필요",ROUND(F224*K224,0)))</f>
      </c>
      <c r="M224" s="12" t="str">
        <f>IF(J224="","",IF(J224&lt;&gt;"정상","비용 설정 필요",SUMIFS('3_채널별_비용설정'!$J$6:$J$55,'3_채널별_비용설정'!$C$6:$C$55,D224,'3_채널별_비용설정'!$D$6:$D$55,"&lt;="&amp;B224,'3_채널별_비용설정'!$L$6:$L$55,"&gt;="&amp;B224)))</f>
      </c>
      <c r="N224" s="12" t="str">
        <f>IF(J224="","",IF(J224&lt;&gt;"정상","비용 설정 필요",E224*M224))</f>
      </c>
      <c r="O224" s="12" t="str">
        <f>IF(J224="","",IF(J224&lt;&gt;"정상","비용 설정 필요",G224+L224+N224+H224))</f>
      </c>
      <c r="P224" s="13" t="str">
        <f>IF(J224="","",IF(J224&lt;&gt;"정상","비용 설정 필요",F224-O224))</f>
      </c>
      <c r="Q224" s="14" t="str">
        <f>IF(J224="","",IF(J224&lt;&gt;"정상","비용 설정 필요",IFERROR(P224/F224,0)))</f>
      </c>
    </row>
    <row r="225">
      <c r="B225" s="7"/>
      <c r="C225" s="5"/>
      <c r="D225" s="5"/>
      <c r="E225" s="8"/>
      <c r="F225" s="8"/>
      <c r="G225" s="8"/>
      <c r="H225" s="8"/>
      <c r="I225" s="6"/>
      <c r="J225" s="10" t="str">
        <f>IF(AND(B225="",C225="",D225=""),"",IF(OR(B225="",D225=""),"비용 설정 필요",IF(COUNTIFS('3_채널별_비용설정'!$C$6:$C$55,D225,'3_채널별_비용설정'!$D$6:$D$55,"&lt;="&amp;B225,'3_채널별_비용설정'!$L$6:$L$55,"&gt;="&amp;B225)=0,"비용 설정 필요",IF(COUNTIFS('3_채널별_비용설정'!$C$6:$C$55,D225,'3_채널별_비용설정'!$D$6:$D$55,"&lt;="&amp;B225,'3_채널별_비용설정'!$L$6:$L$55,"&gt;="&amp;B225)&gt;1,"기간 중복 확인","정상"))))</f>
      </c>
      <c r="K225" s="15" t="str">
        <f>IF(J225="","",IF(J225&lt;&gt;"정상","비용 설정 필요",SUMIFS('3_채널별_비용설정'!$F$6:$F$55,'3_채널별_비용설정'!$C$6:$C$55,D225,'3_채널별_비용설정'!$D$6:$D$55,"&lt;="&amp;B225,'3_채널별_비용설정'!$L$6:$L$55,"&gt;="&amp;B225)))</f>
      </c>
      <c r="L225" s="12" t="str">
        <f>IF(J225="","",IF(J225&lt;&gt;"정상","비용 설정 필요",ROUND(F225*K225,0)))</f>
      </c>
      <c r="M225" s="12" t="str">
        <f>IF(J225="","",IF(J225&lt;&gt;"정상","비용 설정 필요",SUMIFS('3_채널별_비용설정'!$J$6:$J$55,'3_채널별_비용설정'!$C$6:$C$55,D225,'3_채널별_비용설정'!$D$6:$D$55,"&lt;="&amp;B225,'3_채널별_비용설정'!$L$6:$L$55,"&gt;="&amp;B225)))</f>
      </c>
      <c r="N225" s="12" t="str">
        <f>IF(J225="","",IF(J225&lt;&gt;"정상","비용 설정 필요",E225*M225))</f>
      </c>
      <c r="O225" s="12" t="str">
        <f>IF(J225="","",IF(J225&lt;&gt;"정상","비용 설정 필요",G225+L225+N225+H225))</f>
      </c>
      <c r="P225" s="13" t="str">
        <f>IF(J225="","",IF(J225&lt;&gt;"정상","비용 설정 필요",F225-O225))</f>
      </c>
      <c r="Q225" s="14" t="str">
        <f>IF(J225="","",IF(J225&lt;&gt;"정상","비용 설정 필요",IFERROR(P225/F225,0)))</f>
      </c>
    </row>
    <row r="226">
      <c r="B226" s="7"/>
      <c r="C226" s="5"/>
      <c r="D226" s="5"/>
      <c r="E226" s="8"/>
      <c r="F226" s="8"/>
      <c r="G226" s="8"/>
      <c r="H226" s="8"/>
      <c r="I226" s="6"/>
      <c r="J226" s="10" t="str">
        <f>IF(AND(B226="",C226="",D226=""),"",IF(OR(B226="",D226=""),"비용 설정 필요",IF(COUNTIFS('3_채널별_비용설정'!$C$6:$C$55,D226,'3_채널별_비용설정'!$D$6:$D$55,"&lt;="&amp;B226,'3_채널별_비용설정'!$L$6:$L$55,"&gt;="&amp;B226)=0,"비용 설정 필요",IF(COUNTIFS('3_채널별_비용설정'!$C$6:$C$55,D226,'3_채널별_비용설정'!$D$6:$D$55,"&lt;="&amp;B226,'3_채널별_비용설정'!$L$6:$L$55,"&gt;="&amp;B226)&gt;1,"기간 중복 확인","정상"))))</f>
      </c>
      <c r="K226" s="15" t="str">
        <f>IF(J226="","",IF(J226&lt;&gt;"정상","비용 설정 필요",SUMIFS('3_채널별_비용설정'!$F$6:$F$55,'3_채널별_비용설정'!$C$6:$C$55,D226,'3_채널별_비용설정'!$D$6:$D$55,"&lt;="&amp;B226,'3_채널별_비용설정'!$L$6:$L$55,"&gt;="&amp;B226)))</f>
      </c>
      <c r="L226" s="12" t="str">
        <f>IF(J226="","",IF(J226&lt;&gt;"정상","비용 설정 필요",ROUND(F226*K226,0)))</f>
      </c>
      <c r="M226" s="12" t="str">
        <f>IF(J226="","",IF(J226&lt;&gt;"정상","비용 설정 필요",SUMIFS('3_채널별_비용설정'!$J$6:$J$55,'3_채널별_비용설정'!$C$6:$C$55,D226,'3_채널별_비용설정'!$D$6:$D$55,"&lt;="&amp;B226,'3_채널별_비용설정'!$L$6:$L$55,"&gt;="&amp;B226)))</f>
      </c>
      <c r="N226" s="12" t="str">
        <f>IF(J226="","",IF(J226&lt;&gt;"정상","비용 설정 필요",E226*M226))</f>
      </c>
      <c r="O226" s="12" t="str">
        <f>IF(J226="","",IF(J226&lt;&gt;"정상","비용 설정 필요",G226+L226+N226+H226))</f>
      </c>
      <c r="P226" s="13" t="str">
        <f>IF(J226="","",IF(J226&lt;&gt;"정상","비용 설정 필요",F226-O226))</f>
      </c>
      <c r="Q226" s="14" t="str">
        <f>IF(J226="","",IF(J226&lt;&gt;"정상","비용 설정 필요",IFERROR(P226/F226,0)))</f>
      </c>
    </row>
    <row r="227">
      <c r="B227" s="7"/>
      <c r="C227" s="5"/>
      <c r="D227" s="5"/>
      <c r="E227" s="8"/>
      <c r="F227" s="8"/>
      <c r="G227" s="8"/>
      <c r="H227" s="8"/>
      <c r="I227" s="6"/>
      <c r="J227" s="10" t="str">
        <f>IF(AND(B227="",C227="",D227=""),"",IF(OR(B227="",D227=""),"비용 설정 필요",IF(COUNTIFS('3_채널별_비용설정'!$C$6:$C$55,D227,'3_채널별_비용설정'!$D$6:$D$55,"&lt;="&amp;B227,'3_채널별_비용설정'!$L$6:$L$55,"&gt;="&amp;B227)=0,"비용 설정 필요",IF(COUNTIFS('3_채널별_비용설정'!$C$6:$C$55,D227,'3_채널별_비용설정'!$D$6:$D$55,"&lt;="&amp;B227,'3_채널별_비용설정'!$L$6:$L$55,"&gt;="&amp;B227)&gt;1,"기간 중복 확인","정상"))))</f>
      </c>
      <c r="K227" s="15" t="str">
        <f>IF(J227="","",IF(J227&lt;&gt;"정상","비용 설정 필요",SUMIFS('3_채널별_비용설정'!$F$6:$F$55,'3_채널별_비용설정'!$C$6:$C$55,D227,'3_채널별_비용설정'!$D$6:$D$55,"&lt;="&amp;B227,'3_채널별_비용설정'!$L$6:$L$55,"&gt;="&amp;B227)))</f>
      </c>
      <c r="L227" s="12" t="str">
        <f>IF(J227="","",IF(J227&lt;&gt;"정상","비용 설정 필요",ROUND(F227*K227,0)))</f>
      </c>
      <c r="M227" s="12" t="str">
        <f>IF(J227="","",IF(J227&lt;&gt;"정상","비용 설정 필요",SUMIFS('3_채널별_비용설정'!$J$6:$J$55,'3_채널별_비용설정'!$C$6:$C$55,D227,'3_채널별_비용설정'!$D$6:$D$55,"&lt;="&amp;B227,'3_채널별_비용설정'!$L$6:$L$55,"&gt;="&amp;B227)))</f>
      </c>
      <c r="N227" s="12" t="str">
        <f>IF(J227="","",IF(J227&lt;&gt;"정상","비용 설정 필요",E227*M227))</f>
      </c>
      <c r="O227" s="12" t="str">
        <f>IF(J227="","",IF(J227&lt;&gt;"정상","비용 설정 필요",G227+L227+N227+H227))</f>
      </c>
      <c r="P227" s="13" t="str">
        <f>IF(J227="","",IF(J227&lt;&gt;"정상","비용 설정 필요",F227-O227))</f>
      </c>
      <c r="Q227" s="14" t="str">
        <f>IF(J227="","",IF(J227&lt;&gt;"정상","비용 설정 필요",IFERROR(P227/F227,0)))</f>
      </c>
    </row>
    <row r="228">
      <c r="B228" s="7"/>
      <c r="C228" s="5"/>
      <c r="D228" s="5"/>
      <c r="E228" s="8"/>
      <c r="F228" s="8"/>
      <c r="G228" s="8"/>
      <c r="H228" s="8"/>
      <c r="I228" s="6"/>
      <c r="J228" s="10" t="str">
        <f>IF(AND(B228="",C228="",D228=""),"",IF(OR(B228="",D228=""),"비용 설정 필요",IF(COUNTIFS('3_채널별_비용설정'!$C$6:$C$55,D228,'3_채널별_비용설정'!$D$6:$D$55,"&lt;="&amp;B228,'3_채널별_비용설정'!$L$6:$L$55,"&gt;="&amp;B228)=0,"비용 설정 필요",IF(COUNTIFS('3_채널별_비용설정'!$C$6:$C$55,D228,'3_채널별_비용설정'!$D$6:$D$55,"&lt;="&amp;B228,'3_채널별_비용설정'!$L$6:$L$55,"&gt;="&amp;B228)&gt;1,"기간 중복 확인","정상"))))</f>
      </c>
      <c r="K228" s="15" t="str">
        <f>IF(J228="","",IF(J228&lt;&gt;"정상","비용 설정 필요",SUMIFS('3_채널별_비용설정'!$F$6:$F$55,'3_채널별_비용설정'!$C$6:$C$55,D228,'3_채널별_비용설정'!$D$6:$D$55,"&lt;="&amp;B228,'3_채널별_비용설정'!$L$6:$L$55,"&gt;="&amp;B228)))</f>
      </c>
      <c r="L228" s="12" t="str">
        <f>IF(J228="","",IF(J228&lt;&gt;"정상","비용 설정 필요",ROUND(F228*K228,0)))</f>
      </c>
      <c r="M228" s="12" t="str">
        <f>IF(J228="","",IF(J228&lt;&gt;"정상","비용 설정 필요",SUMIFS('3_채널별_비용설정'!$J$6:$J$55,'3_채널별_비용설정'!$C$6:$C$55,D228,'3_채널별_비용설정'!$D$6:$D$55,"&lt;="&amp;B228,'3_채널별_비용설정'!$L$6:$L$55,"&gt;="&amp;B228)))</f>
      </c>
      <c r="N228" s="12" t="str">
        <f>IF(J228="","",IF(J228&lt;&gt;"정상","비용 설정 필요",E228*M228))</f>
      </c>
      <c r="O228" s="12" t="str">
        <f>IF(J228="","",IF(J228&lt;&gt;"정상","비용 설정 필요",G228+L228+N228+H228))</f>
      </c>
      <c r="P228" s="13" t="str">
        <f>IF(J228="","",IF(J228&lt;&gt;"정상","비용 설정 필요",F228-O228))</f>
      </c>
      <c r="Q228" s="14" t="str">
        <f>IF(J228="","",IF(J228&lt;&gt;"정상","비용 설정 필요",IFERROR(P228/F228,0)))</f>
      </c>
    </row>
    <row r="229">
      <c r="B229" s="7"/>
      <c r="C229" s="5"/>
      <c r="D229" s="5"/>
      <c r="E229" s="8"/>
      <c r="F229" s="8"/>
      <c r="G229" s="8"/>
      <c r="H229" s="8"/>
      <c r="I229" s="6"/>
      <c r="J229" s="10" t="str">
        <f>IF(AND(B229="",C229="",D229=""),"",IF(OR(B229="",D229=""),"비용 설정 필요",IF(COUNTIFS('3_채널별_비용설정'!$C$6:$C$55,D229,'3_채널별_비용설정'!$D$6:$D$55,"&lt;="&amp;B229,'3_채널별_비용설정'!$L$6:$L$55,"&gt;="&amp;B229)=0,"비용 설정 필요",IF(COUNTIFS('3_채널별_비용설정'!$C$6:$C$55,D229,'3_채널별_비용설정'!$D$6:$D$55,"&lt;="&amp;B229,'3_채널별_비용설정'!$L$6:$L$55,"&gt;="&amp;B229)&gt;1,"기간 중복 확인","정상"))))</f>
      </c>
      <c r="K229" s="15" t="str">
        <f>IF(J229="","",IF(J229&lt;&gt;"정상","비용 설정 필요",SUMIFS('3_채널별_비용설정'!$F$6:$F$55,'3_채널별_비용설정'!$C$6:$C$55,D229,'3_채널별_비용설정'!$D$6:$D$55,"&lt;="&amp;B229,'3_채널별_비용설정'!$L$6:$L$55,"&gt;="&amp;B229)))</f>
      </c>
      <c r="L229" s="12" t="str">
        <f>IF(J229="","",IF(J229&lt;&gt;"정상","비용 설정 필요",ROUND(F229*K229,0)))</f>
      </c>
      <c r="M229" s="12" t="str">
        <f>IF(J229="","",IF(J229&lt;&gt;"정상","비용 설정 필요",SUMIFS('3_채널별_비용설정'!$J$6:$J$55,'3_채널별_비용설정'!$C$6:$C$55,D229,'3_채널별_비용설정'!$D$6:$D$55,"&lt;="&amp;B229,'3_채널별_비용설정'!$L$6:$L$55,"&gt;="&amp;B229)))</f>
      </c>
      <c r="N229" s="12" t="str">
        <f>IF(J229="","",IF(J229&lt;&gt;"정상","비용 설정 필요",E229*M229))</f>
      </c>
      <c r="O229" s="12" t="str">
        <f>IF(J229="","",IF(J229&lt;&gt;"정상","비용 설정 필요",G229+L229+N229+H229))</f>
      </c>
      <c r="P229" s="13" t="str">
        <f>IF(J229="","",IF(J229&lt;&gt;"정상","비용 설정 필요",F229-O229))</f>
      </c>
      <c r="Q229" s="14" t="str">
        <f>IF(J229="","",IF(J229&lt;&gt;"정상","비용 설정 필요",IFERROR(P229/F229,0)))</f>
      </c>
    </row>
    <row r="230">
      <c r="B230" s="7"/>
      <c r="C230" s="5"/>
      <c r="D230" s="5"/>
      <c r="E230" s="8"/>
      <c r="F230" s="8"/>
      <c r="G230" s="8"/>
      <c r="H230" s="8"/>
      <c r="I230" s="6"/>
      <c r="J230" s="10" t="str">
        <f>IF(AND(B230="",C230="",D230=""),"",IF(OR(B230="",D230=""),"비용 설정 필요",IF(COUNTIFS('3_채널별_비용설정'!$C$6:$C$55,D230,'3_채널별_비용설정'!$D$6:$D$55,"&lt;="&amp;B230,'3_채널별_비용설정'!$L$6:$L$55,"&gt;="&amp;B230)=0,"비용 설정 필요",IF(COUNTIFS('3_채널별_비용설정'!$C$6:$C$55,D230,'3_채널별_비용설정'!$D$6:$D$55,"&lt;="&amp;B230,'3_채널별_비용설정'!$L$6:$L$55,"&gt;="&amp;B230)&gt;1,"기간 중복 확인","정상"))))</f>
      </c>
      <c r="K230" s="15" t="str">
        <f>IF(J230="","",IF(J230&lt;&gt;"정상","비용 설정 필요",SUMIFS('3_채널별_비용설정'!$F$6:$F$55,'3_채널별_비용설정'!$C$6:$C$55,D230,'3_채널별_비용설정'!$D$6:$D$55,"&lt;="&amp;B230,'3_채널별_비용설정'!$L$6:$L$55,"&gt;="&amp;B230)))</f>
      </c>
      <c r="L230" s="12" t="str">
        <f>IF(J230="","",IF(J230&lt;&gt;"정상","비용 설정 필요",ROUND(F230*K230,0)))</f>
      </c>
      <c r="M230" s="12" t="str">
        <f>IF(J230="","",IF(J230&lt;&gt;"정상","비용 설정 필요",SUMIFS('3_채널별_비용설정'!$J$6:$J$55,'3_채널별_비용설정'!$C$6:$C$55,D230,'3_채널별_비용설정'!$D$6:$D$55,"&lt;="&amp;B230,'3_채널별_비용설정'!$L$6:$L$55,"&gt;="&amp;B230)))</f>
      </c>
      <c r="N230" s="12" t="str">
        <f>IF(J230="","",IF(J230&lt;&gt;"정상","비용 설정 필요",E230*M230))</f>
      </c>
      <c r="O230" s="12" t="str">
        <f>IF(J230="","",IF(J230&lt;&gt;"정상","비용 설정 필요",G230+L230+N230+H230))</f>
      </c>
      <c r="P230" s="13" t="str">
        <f>IF(J230="","",IF(J230&lt;&gt;"정상","비용 설정 필요",F230-O230))</f>
      </c>
      <c r="Q230" s="14" t="str">
        <f>IF(J230="","",IF(J230&lt;&gt;"정상","비용 설정 필요",IFERROR(P230/F230,0)))</f>
      </c>
    </row>
    <row r="231">
      <c r="B231" s="7"/>
      <c r="C231" s="5"/>
      <c r="D231" s="5"/>
      <c r="E231" s="8"/>
      <c r="F231" s="8"/>
      <c r="G231" s="8"/>
      <c r="H231" s="8"/>
      <c r="I231" s="6"/>
      <c r="J231" s="10" t="str">
        <f>IF(AND(B231="",C231="",D231=""),"",IF(OR(B231="",D231=""),"비용 설정 필요",IF(COUNTIFS('3_채널별_비용설정'!$C$6:$C$55,D231,'3_채널별_비용설정'!$D$6:$D$55,"&lt;="&amp;B231,'3_채널별_비용설정'!$L$6:$L$55,"&gt;="&amp;B231)=0,"비용 설정 필요",IF(COUNTIFS('3_채널별_비용설정'!$C$6:$C$55,D231,'3_채널별_비용설정'!$D$6:$D$55,"&lt;="&amp;B231,'3_채널별_비용설정'!$L$6:$L$55,"&gt;="&amp;B231)&gt;1,"기간 중복 확인","정상"))))</f>
      </c>
      <c r="K231" s="15" t="str">
        <f>IF(J231="","",IF(J231&lt;&gt;"정상","비용 설정 필요",SUMIFS('3_채널별_비용설정'!$F$6:$F$55,'3_채널별_비용설정'!$C$6:$C$55,D231,'3_채널별_비용설정'!$D$6:$D$55,"&lt;="&amp;B231,'3_채널별_비용설정'!$L$6:$L$55,"&gt;="&amp;B231)))</f>
      </c>
      <c r="L231" s="12" t="str">
        <f>IF(J231="","",IF(J231&lt;&gt;"정상","비용 설정 필요",ROUND(F231*K231,0)))</f>
      </c>
      <c r="M231" s="12" t="str">
        <f>IF(J231="","",IF(J231&lt;&gt;"정상","비용 설정 필요",SUMIFS('3_채널별_비용설정'!$J$6:$J$55,'3_채널별_비용설정'!$C$6:$C$55,D231,'3_채널별_비용설정'!$D$6:$D$55,"&lt;="&amp;B231,'3_채널별_비용설정'!$L$6:$L$55,"&gt;="&amp;B231)))</f>
      </c>
      <c r="N231" s="12" t="str">
        <f>IF(J231="","",IF(J231&lt;&gt;"정상","비용 설정 필요",E231*M231))</f>
      </c>
      <c r="O231" s="12" t="str">
        <f>IF(J231="","",IF(J231&lt;&gt;"정상","비용 설정 필요",G231+L231+N231+H231))</f>
      </c>
      <c r="P231" s="13" t="str">
        <f>IF(J231="","",IF(J231&lt;&gt;"정상","비용 설정 필요",F231-O231))</f>
      </c>
      <c r="Q231" s="14" t="str">
        <f>IF(J231="","",IF(J231&lt;&gt;"정상","비용 설정 필요",IFERROR(P231/F231,0)))</f>
      </c>
    </row>
    <row r="232">
      <c r="B232" s="7"/>
      <c r="C232" s="5"/>
      <c r="D232" s="5"/>
      <c r="E232" s="8"/>
      <c r="F232" s="8"/>
      <c r="G232" s="8"/>
      <c r="H232" s="8"/>
      <c r="I232" s="6"/>
      <c r="J232" s="10" t="str">
        <f>IF(AND(B232="",C232="",D232=""),"",IF(OR(B232="",D232=""),"비용 설정 필요",IF(COUNTIFS('3_채널별_비용설정'!$C$6:$C$55,D232,'3_채널별_비용설정'!$D$6:$D$55,"&lt;="&amp;B232,'3_채널별_비용설정'!$L$6:$L$55,"&gt;="&amp;B232)=0,"비용 설정 필요",IF(COUNTIFS('3_채널별_비용설정'!$C$6:$C$55,D232,'3_채널별_비용설정'!$D$6:$D$55,"&lt;="&amp;B232,'3_채널별_비용설정'!$L$6:$L$55,"&gt;="&amp;B232)&gt;1,"기간 중복 확인","정상"))))</f>
      </c>
      <c r="K232" s="15" t="str">
        <f>IF(J232="","",IF(J232&lt;&gt;"정상","비용 설정 필요",SUMIFS('3_채널별_비용설정'!$F$6:$F$55,'3_채널별_비용설정'!$C$6:$C$55,D232,'3_채널별_비용설정'!$D$6:$D$55,"&lt;="&amp;B232,'3_채널별_비용설정'!$L$6:$L$55,"&gt;="&amp;B232)))</f>
      </c>
      <c r="L232" s="12" t="str">
        <f>IF(J232="","",IF(J232&lt;&gt;"정상","비용 설정 필요",ROUND(F232*K232,0)))</f>
      </c>
      <c r="M232" s="12" t="str">
        <f>IF(J232="","",IF(J232&lt;&gt;"정상","비용 설정 필요",SUMIFS('3_채널별_비용설정'!$J$6:$J$55,'3_채널별_비용설정'!$C$6:$C$55,D232,'3_채널별_비용설정'!$D$6:$D$55,"&lt;="&amp;B232,'3_채널별_비용설정'!$L$6:$L$55,"&gt;="&amp;B232)))</f>
      </c>
      <c r="N232" s="12" t="str">
        <f>IF(J232="","",IF(J232&lt;&gt;"정상","비용 설정 필요",E232*M232))</f>
      </c>
      <c r="O232" s="12" t="str">
        <f>IF(J232="","",IF(J232&lt;&gt;"정상","비용 설정 필요",G232+L232+N232+H232))</f>
      </c>
      <c r="P232" s="13" t="str">
        <f>IF(J232="","",IF(J232&lt;&gt;"정상","비용 설정 필요",F232-O232))</f>
      </c>
      <c r="Q232" s="14" t="str">
        <f>IF(J232="","",IF(J232&lt;&gt;"정상","비용 설정 필요",IFERROR(P232/F232,0)))</f>
      </c>
    </row>
    <row r="233">
      <c r="B233" s="7"/>
      <c r="C233" s="5"/>
      <c r="D233" s="5"/>
      <c r="E233" s="8"/>
      <c r="F233" s="8"/>
      <c r="G233" s="8"/>
      <c r="H233" s="8"/>
      <c r="I233" s="6"/>
      <c r="J233" s="10" t="str">
        <f>IF(AND(B233="",C233="",D233=""),"",IF(OR(B233="",D233=""),"비용 설정 필요",IF(COUNTIFS('3_채널별_비용설정'!$C$6:$C$55,D233,'3_채널별_비용설정'!$D$6:$D$55,"&lt;="&amp;B233,'3_채널별_비용설정'!$L$6:$L$55,"&gt;="&amp;B233)=0,"비용 설정 필요",IF(COUNTIFS('3_채널별_비용설정'!$C$6:$C$55,D233,'3_채널별_비용설정'!$D$6:$D$55,"&lt;="&amp;B233,'3_채널별_비용설정'!$L$6:$L$55,"&gt;="&amp;B233)&gt;1,"기간 중복 확인","정상"))))</f>
      </c>
      <c r="K233" s="15" t="str">
        <f>IF(J233="","",IF(J233&lt;&gt;"정상","비용 설정 필요",SUMIFS('3_채널별_비용설정'!$F$6:$F$55,'3_채널별_비용설정'!$C$6:$C$55,D233,'3_채널별_비용설정'!$D$6:$D$55,"&lt;="&amp;B233,'3_채널별_비용설정'!$L$6:$L$55,"&gt;="&amp;B233)))</f>
      </c>
      <c r="L233" s="12" t="str">
        <f>IF(J233="","",IF(J233&lt;&gt;"정상","비용 설정 필요",ROUND(F233*K233,0)))</f>
      </c>
      <c r="M233" s="12" t="str">
        <f>IF(J233="","",IF(J233&lt;&gt;"정상","비용 설정 필요",SUMIFS('3_채널별_비용설정'!$J$6:$J$55,'3_채널별_비용설정'!$C$6:$C$55,D233,'3_채널별_비용설정'!$D$6:$D$55,"&lt;="&amp;B233,'3_채널별_비용설정'!$L$6:$L$55,"&gt;="&amp;B233)))</f>
      </c>
      <c r="N233" s="12" t="str">
        <f>IF(J233="","",IF(J233&lt;&gt;"정상","비용 설정 필요",E233*M233))</f>
      </c>
      <c r="O233" s="12" t="str">
        <f>IF(J233="","",IF(J233&lt;&gt;"정상","비용 설정 필요",G233+L233+N233+H233))</f>
      </c>
      <c r="P233" s="13" t="str">
        <f>IF(J233="","",IF(J233&lt;&gt;"정상","비용 설정 필요",F233-O233))</f>
      </c>
      <c r="Q233" s="14" t="str">
        <f>IF(J233="","",IF(J233&lt;&gt;"정상","비용 설정 필요",IFERROR(P233/F233,0)))</f>
      </c>
    </row>
    <row r="234">
      <c r="B234" s="7"/>
      <c r="C234" s="5"/>
      <c r="D234" s="5"/>
      <c r="E234" s="8"/>
      <c r="F234" s="8"/>
      <c r="G234" s="8"/>
      <c r="H234" s="8"/>
      <c r="I234" s="6"/>
      <c r="J234" s="10" t="str">
        <f>IF(AND(B234="",C234="",D234=""),"",IF(OR(B234="",D234=""),"비용 설정 필요",IF(COUNTIFS('3_채널별_비용설정'!$C$6:$C$55,D234,'3_채널별_비용설정'!$D$6:$D$55,"&lt;="&amp;B234,'3_채널별_비용설정'!$L$6:$L$55,"&gt;="&amp;B234)=0,"비용 설정 필요",IF(COUNTIFS('3_채널별_비용설정'!$C$6:$C$55,D234,'3_채널별_비용설정'!$D$6:$D$55,"&lt;="&amp;B234,'3_채널별_비용설정'!$L$6:$L$55,"&gt;="&amp;B234)&gt;1,"기간 중복 확인","정상"))))</f>
      </c>
      <c r="K234" s="15" t="str">
        <f>IF(J234="","",IF(J234&lt;&gt;"정상","비용 설정 필요",SUMIFS('3_채널별_비용설정'!$F$6:$F$55,'3_채널별_비용설정'!$C$6:$C$55,D234,'3_채널별_비용설정'!$D$6:$D$55,"&lt;="&amp;B234,'3_채널별_비용설정'!$L$6:$L$55,"&gt;="&amp;B234)))</f>
      </c>
      <c r="L234" s="12" t="str">
        <f>IF(J234="","",IF(J234&lt;&gt;"정상","비용 설정 필요",ROUND(F234*K234,0)))</f>
      </c>
      <c r="M234" s="12" t="str">
        <f>IF(J234="","",IF(J234&lt;&gt;"정상","비용 설정 필요",SUMIFS('3_채널별_비용설정'!$J$6:$J$55,'3_채널별_비용설정'!$C$6:$C$55,D234,'3_채널별_비용설정'!$D$6:$D$55,"&lt;="&amp;B234,'3_채널별_비용설정'!$L$6:$L$55,"&gt;="&amp;B234)))</f>
      </c>
      <c r="N234" s="12" t="str">
        <f>IF(J234="","",IF(J234&lt;&gt;"정상","비용 설정 필요",E234*M234))</f>
      </c>
      <c r="O234" s="12" t="str">
        <f>IF(J234="","",IF(J234&lt;&gt;"정상","비용 설정 필요",G234+L234+N234+H234))</f>
      </c>
      <c r="P234" s="13" t="str">
        <f>IF(J234="","",IF(J234&lt;&gt;"정상","비용 설정 필요",F234-O234))</f>
      </c>
      <c r="Q234" s="14" t="str">
        <f>IF(J234="","",IF(J234&lt;&gt;"정상","비용 설정 필요",IFERROR(P234/F234,0)))</f>
      </c>
    </row>
    <row r="235">
      <c r="B235" s="7"/>
      <c r="C235" s="5"/>
      <c r="D235" s="5"/>
      <c r="E235" s="8"/>
      <c r="F235" s="8"/>
      <c r="G235" s="8"/>
      <c r="H235" s="8"/>
      <c r="I235" s="6"/>
      <c r="J235" s="10" t="str">
        <f>IF(AND(B235="",C235="",D235=""),"",IF(OR(B235="",D235=""),"비용 설정 필요",IF(COUNTIFS('3_채널별_비용설정'!$C$6:$C$55,D235,'3_채널별_비용설정'!$D$6:$D$55,"&lt;="&amp;B235,'3_채널별_비용설정'!$L$6:$L$55,"&gt;="&amp;B235)=0,"비용 설정 필요",IF(COUNTIFS('3_채널별_비용설정'!$C$6:$C$55,D235,'3_채널별_비용설정'!$D$6:$D$55,"&lt;="&amp;B235,'3_채널별_비용설정'!$L$6:$L$55,"&gt;="&amp;B235)&gt;1,"기간 중복 확인","정상"))))</f>
      </c>
      <c r="K235" s="15" t="str">
        <f>IF(J235="","",IF(J235&lt;&gt;"정상","비용 설정 필요",SUMIFS('3_채널별_비용설정'!$F$6:$F$55,'3_채널별_비용설정'!$C$6:$C$55,D235,'3_채널별_비용설정'!$D$6:$D$55,"&lt;="&amp;B235,'3_채널별_비용설정'!$L$6:$L$55,"&gt;="&amp;B235)))</f>
      </c>
      <c r="L235" s="12" t="str">
        <f>IF(J235="","",IF(J235&lt;&gt;"정상","비용 설정 필요",ROUND(F235*K235,0)))</f>
      </c>
      <c r="M235" s="12" t="str">
        <f>IF(J235="","",IF(J235&lt;&gt;"정상","비용 설정 필요",SUMIFS('3_채널별_비용설정'!$J$6:$J$55,'3_채널별_비용설정'!$C$6:$C$55,D235,'3_채널별_비용설정'!$D$6:$D$55,"&lt;="&amp;B235,'3_채널별_비용설정'!$L$6:$L$55,"&gt;="&amp;B235)))</f>
      </c>
      <c r="N235" s="12" t="str">
        <f>IF(J235="","",IF(J235&lt;&gt;"정상","비용 설정 필요",E235*M235))</f>
      </c>
      <c r="O235" s="12" t="str">
        <f>IF(J235="","",IF(J235&lt;&gt;"정상","비용 설정 필요",G235+L235+N235+H235))</f>
      </c>
      <c r="P235" s="13" t="str">
        <f>IF(J235="","",IF(J235&lt;&gt;"정상","비용 설정 필요",F235-O235))</f>
      </c>
      <c r="Q235" s="14" t="str">
        <f>IF(J235="","",IF(J235&lt;&gt;"정상","비용 설정 필요",IFERROR(P235/F235,0)))</f>
      </c>
    </row>
    <row r="236">
      <c r="B236" s="7"/>
      <c r="C236" s="5"/>
      <c r="D236" s="5"/>
      <c r="E236" s="8"/>
      <c r="F236" s="8"/>
      <c r="G236" s="8"/>
      <c r="H236" s="8"/>
      <c r="I236" s="6"/>
      <c r="J236" s="10" t="str">
        <f>IF(AND(B236="",C236="",D236=""),"",IF(OR(B236="",D236=""),"비용 설정 필요",IF(COUNTIFS('3_채널별_비용설정'!$C$6:$C$55,D236,'3_채널별_비용설정'!$D$6:$D$55,"&lt;="&amp;B236,'3_채널별_비용설정'!$L$6:$L$55,"&gt;="&amp;B236)=0,"비용 설정 필요",IF(COUNTIFS('3_채널별_비용설정'!$C$6:$C$55,D236,'3_채널별_비용설정'!$D$6:$D$55,"&lt;="&amp;B236,'3_채널별_비용설정'!$L$6:$L$55,"&gt;="&amp;B236)&gt;1,"기간 중복 확인","정상"))))</f>
      </c>
      <c r="K236" s="15" t="str">
        <f>IF(J236="","",IF(J236&lt;&gt;"정상","비용 설정 필요",SUMIFS('3_채널별_비용설정'!$F$6:$F$55,'3_채널별_비용설정'!$C$6:$C$55,D236,'3_채널별_비용설정'!$D$6:$D$55,"&lt;="&amp;B236,'3_채널별_비용설정'!$L$6:$L$55,"&gt;="&amp;B236)))</f>
      </c>
      <c r="L236" s="12" t="str">
        <f>IF(J236="","",IF(J236&lt;&gt;"정상","비용 설정 필요",ROUND(F236*K236,0)))</f>
      </c>
      <c r="M236" s="12" t="str">
        <f>IF(J236="","",IF(J236&lt;&gt;"정상","비용 설정 필요",SUMIFS('3_채널별_비용설정'!$J$6:$J$55,'3_채널별_비용설정'!$C$6:$C$55,D236,'3_채널별_비용설정'!$D$6:$D$55,"&lt;="&amp;B236,'3_채널별_비용설정'!$L$6:$L$55,"&gt;="&amp;B236)))</f>
      </c>
      <c r="N236" s="12" t="str">
        <f>IF(J236="","",IF(J236&lt;&gt;"정상","비용 설정 필요",E236*M236))</f>
      </c>
      <c r="O236" s="12" t="str">
        <f>IF(J236="","",IF(J236&lt;&gt;"정상","비용 설정 필요",G236+L236+N236+H236))</f>
      </c>
      <c r="P236" s="13" t="str">
        <f>IF(J236="","",IF(J236&lt;&gt;"정상","비용 설정 필요",F236-O236))</f>
      </c>
      <c r="Q236" s="14" t="str">
        <f>IF(J236="","",IF(J236&lt;&gt;"정상","비용 설정 필요",IFERROR(P236/F236,0)))</f>
      </c>
    </row>
    <row r="237">
      <c r="B237" s="7"/>
      <c r="C237" s="5"/>
      <c r="D237" s="5"/>
      <c r="E237" s="8"/>
      <c r="F237" s="8"/>
      <c r="G237" s="8"/>
      <c r="H237" s="8"/>
      <c r="I237" s="6"/>
      <c r="J237" s="10" t="str">
        <f>IF(AND(B237="",C237="",D237=""),"",IF(OR(B237="",D237=""),"비용 설정 필요",IF(COUNTIFS('3_채널별_비용설정'!$C$6:$C$55,D237,'3_채널별_비용설정'!$D$6:$D$55,"&lt;="&amp;B237,'3_채널별_비용설정'!$L$6:$L$55,"&gt;="&amp;B237)=0,"비용 설정 필요",IF(COUNTIFS('3_채널별_비용설정'!$C$6:$C$55,D237,'3_채널별_비용설정'!$D$6:$D$55,"&lt;="&amp;B237,'3_채널별_비용설정'!$L$6:$L$55,"&gt;="&amp;B237)&gt;1,"기간 중복 확인","정상"))))</f>
      </c>
      <c r="K237" s="15" t="str">
        <f>IF(J237="","",IF(J237&lt;&gt;"정상","비용 설정 필요",SUMIFS('3_채널별_비용설정'!$F$6:$F$55,'3_채널별_비용설정'!$C$6:$C$55,D237,'3_채널별_비용설정'!$D$6:$D$55,"&lt;="&amp;B237,'3_채널별_비용설정'!$L$6:$L$55,"&gt;="&amp;B237)))</f>
      </c>
      <c r="L237" s="12" t="str">
        <f>IF(J237="","",IF(J237&lt;&gt;"정상","비용 설정 필요",ROUND(F237*K237,0)))</f>
      </c>
      <c r="M237" s="12" t="str">
        <f>IF(J237="","",IF(J237&lt;&gt;"정상","비용 설정 필요",SUMIFS('3_채널별_비용설정'!$J$6:$J$55,'3_채널별_비용설정'!$C$6:$C$55,D237,'3_채널별_비용설정'!$D$6:$D$55,"&lt;="&amp;B237,'3_채널별_비용설정'!$L$6:$L$55,"&gt;="&amp;B237)))</f>
      </c>
      <c r="N237" s="12" t="str">
        <f>IF(J237="","",IF(J237&lt;&gt;"정상","비용 설정 필요",E237*M237))</f>
      </c>
      <c r="O237" s="12" t="str">
        <f>IF(J237="","",IF(J237&lt;&gt;"정상","비용 설정 필요",G237+L237+N237+H237))</f>
      </c>
      <c r="P237" s="13" t="str">
        <f>IF(J237="","",IF(J237&lt;&gt;"정상","비용 설정 필요",F237-O237))</f>
      </c>
      <c r="Q237" s="14" t="str">
        <f>IF(J237="","",IF(J237&lt;&gt;"정상","비용 설정 필요",IFERROR(P237/F237,0)))</f>
      </c>
    </row>
    <row r="238">
      <c r="B238" s="7"/>
      <c r="C238" s="5"/>
      <c r="D238" s="5"/>
      <c r="E238" s="8"/>
      <c r="F238" s="8"/>
      <c r="G238" s="8"/>
      <c r="H238" s="8"/>
      <c r="I238" s="6"/>
      <c r="J238" s="10" t="str">
        <f>IF(AND(B238="",C238="",D238=""),"",IF(OR(B238="",D238=""),"비용 설정 필요",IF(COUNTIFS('3_채널별_비용설정'!$C$6:$C$55,D238,'3_채널별_비용설정'!$D$6:$D$55,"&lt;="&amp;B238,'3_채널별_비용설정'!$L$6:$L$55,"&gt;="&amp;B238)=0,"비용 설정 필요",IF(COUNTIFS('3_채널별_비용설정'!$C$6:$C$55,D238,'3_채널별_비용설정'!$D$6:$D$55,"&lt;="&amp;B238,'3_채널별_비용설정'!$L$6:$L$55,"&gt;="&amp;B238)&gt;1,"기간 중복 확인","정상"))))</f>
      </c>
      <c r="K238" s="15" t="str">
        <f>IF(J238="","",IF(J238&lt;&gt;"정상","비용 설정 필요",SUMIFS('3_채널별_비용설정'!$F$6:$F$55,'3_채널별_비용설정'!$C$6:$C$55,D238,'3_채널별_비용설정'!$D$6:$D$55,"&lt;="&amp;B238,'3_채널별_비용설정'!$L$6:$L$55,"&gt;="&amp;B238)))</f>
      </c>
      <c r="L238" s="12" t="str">
        <f>IF(J238="","",IF(J238&lt;&gt;"정상","비용 설정 필요",ROUND(F238*K238,0)))</f>
      </c>
      <c r="M238" s="12" t="str">
        <f>IF(J238="","",IF(J238&lt;&gt;"정상","비용 설정 필요",SUMIFS('3_채널별_비용설정'!$J$6:$J$55,'3_채널별_비용설정'!$C$6:$C$55,D238,'3_채널별_비용설정'!$D$6:$D$55,"&lt;="&amp;B238,'3_채널별_비용설정'!$L$6:$L$55,"&gt;="&amp;B238)))</f>
      </c>
      <c r="N238" s="12" t="str">
        <f>IF(J238="","",IF(J238&lt;&gt;"정상","비용 설정 필요",E238*M238))</f>
      </c>
      <c r="O238" s="12" t="str">
        <f>IF(J238="","",IF(J238&lt;&gt;"정상","비용 설정 필요",G238+L238+N238+H238))</f>
      </c>
      <c r="P238" s="13" t="str">
        <f>IF(J238="","",IF(J238&lt;&gt;"정상","비용 설정 필요",F238-O238))</f>
      </c>
      <c r="Q238" s="14" t="str">
        <f>IF(J238="","",IF(J238&lt;&gt;"정상","비용 설정 필요",IFERROR(P238/F238,0)))</f>
      </c>
    </row>
    <row r="239">
      <c r="B239" s="7"/>
      <c r="C239" s="5"/>
      <c r="D239" s="5"/>
      <c r="E239" s="8"/>
      <c r="F239" s="8"/>
      <c r="G239" s="8"/>
      <c r="H239" s="8"/>
      <c r="I239" s="6"/>
      <c r="J239" s="10" t="str">
        <f>IF(AND(B239="",C239="",D239=""),"",IF(OR(B239="",D239=""),"비용 설정 필요",IF(COUNTIFS('3_채널별_비용설정'!$C$6:$C$55,D239,'3_채널별_비용설정'!$D$6:$D$55,"&lt;="&amp;B239,'3_채널별_비용설정'!$L$6:$L$55,"&gt;="&amp;B239)=0,"비용 설정 필요",IF(COUNTIFS('3_채널별_비용설정'!$C$6:$C$55,D239,'3_채널별_비용설정'!$D$6:$D$55,"&lt;="&amp;B239,'3_채널별_비용설정'!$L$6:$L$55,"&gt;="&amp;B239)&gt;1,"기간 중복 확인","정상"))))</f>
      </c>
      <c r="K239" s="15" t="str">
        <f>IF(J239="","",IF(J239&lt;&gt;"정상","비용 설정 필요",SUMIFS('3_채널별_비용설정'!$F$6:$F$55,'3_채널별_비용설정'!$C$6:$C$55,D239,'3_채널별_비용설정'!$D$6:$D$55,"&lt;="&amp;B239,'3_채널별_비용설정'!$L$6:$L$55,"&gt;="&amp;B239)))</f>
      </c>
      <c r="L239" s="12" t="str">
        <f>IF(J239="","",IF(J239&lt;&gt;"정상","비용 설정 필요",ROUND(F239*K239,0)))</f>
      </c>
      <c r="M239" s="12" t="str">
        <f>IF(J239="","",IF(J239&lt;&gt;"정상","비용 설정 필요",SUMIFS('3_채널별_비용설정'!$J$6:$J$55,'3_채널별_비용설정'!$C$6:$C$55,D239,'3_채널별_비용설정'!$D$6:$D$55,"&lt;="&amp;B239,'3_채널별_비용설정'!$L$6:$L$55,"&gt;="&amp;B239)))</f>
      </c>
      <c r="N239" s="12" t="str">
        <f>IF(J239="","",IF(J239&lt;&gt;"정상","비용 설정 필요",E239*M239))</f>
      </c>
      <c r="O239" s="12" t="str">
        <f>IF(J239="","",IF(J239&lt;&gt;"정상","비용 설정 필요",G239+L239+N239+H239))</f>
      </c>
      <c r="P239" s="13" t="str">
        <f>IF(J239="","",IF(J239&lt;&gt;"정상","비용 설정 필요",F239-O239))</f>
      </c>
      <c r="Q239" s="14" t="str">
        <f>IF(J239="","",IF(J239&lt;&gt;"정상","비용 설정 필요",IFERROR(P239/F239,0)))</f>
      </c>
    </row>
    <row r="240">
      <c r="B240" s="7"/>
      <c r="C240" s="5"/>
      <c r="D240" s="5"/>
      <c r="E240" s="8"/>
      <c r="F240" s="8"/>
      <c r="G240" s="8"/>
      <c r="H240" s="8"/>
      <c r="I240" s="6"/>
      <c r="J240" s="10" t="str">
        <f>IF(AND(B240="",C240="",D240=""),"",IF(OR(B240="",D240=""),"비용 설정 필요",IF(COUNTIFS('3_채널별_비용설정'!$C$6:$C$55,D240,'3_채널별_비용설정'!$D$6:$D$55,"&lt;="&amp;B240,'3_채널별_비용설정'!$L$6:$L$55,"&gt;="&amp;B240)=0,"비용 설정 필요",IF(COUNTIFS('3_채널별_비용설정'!$C$6:$C$55,D240,'3_채널별_비용설정'!$D$6:$D$55,"&lt;="&amp;B240,'3_채널별_비용설정'!$L$6:$L$55,"&gt;="&amp;B240)&gt;1,"기간 중복 확인","정상"))))</f>
      </c>
      <c r="K240" s="15" t="str">
        <f>IF(J240="","",IF(J240&lt;&gt;"정상","비용 설정 필요",SUMIFS('3_채널별_비용설정'!$F$6:$F$55,'3_채널별_비용설정'!$C$6:$C$55,D240,'3_채널별_비용설정'!$D$6:$D$55,"&lt;="&amp;B240,'3_채널별_비용설정'!$L$6:$L$55,"&gt;="&amp;B240)))</f>
      </c>
      <c r="L240" s="12" t="str">
        <f>IF(J240="","",IF(J240&lt;&gt;"정상","비용 설정 필요",ROUND(F240*K240,0)))</f>
      </c>
      <c r="M240" s="12" t="str">
        <f>IF(J240="","",IF(J240&lt;&gt;"정상","비용 설정 필요",SUMIFS('3_채널별_비용설정'!$J$6:$J$55,'3_채널별_비용설정'!$C$6:$C$55,D240,'3_채널별_비용설정'!$D$6:$D$55,"&lt;="&amp;B240,'3_채널별_비용설정'!$L$6:$L$55,"&gt;="&amp;B240)))</f>
      </c>
      <c r="N240" s="12" t="str">
        <f>IF(J240="","",IF(J240&lt;&gt;"정상","비용 설정 필요",E240*M240))</f>
      </c>
      <c r="O240" s="12" t="str">
        <f>IF(J240="","",IF(J240&lt;&gt;"정상","비용 설정 필요",G240+L240+N240+H240))</f>
      </c>
      <c r="P240" s="13" t="str">
        <f>IF(J240="","",IF(J240&lt;&gt;"정상","비용 설정 필요",F240-O240))</f>
      </c>
      <c r="Q240" s="14" t="str">
        <f>IF(J240="","",IF(J240&lt;&gt;"정상","비용 설정 필요",IFERROR(P240/F240,0)))</f>
      </c>
    </row>
    <row r="241">
      <c r="B241" s="7"/>
      <c r="C241" s="5"/>
      <c r="D241" s="5"/>
      <c r="E241" s="8"/>
      <c r="F241" s="8"/>
      <c r="G241" s="8"/>
      <c r="H241" s="8"/>
      <c r="I241" s="6"/>
      <c r="J241" s="10" t="str">
        <f>IF(AND(B241="",C241="",D241=""),"",IF(OR(B241="",D241=""),"비용 설정 필요",IF(COUNTIFS('3_채널별_비용설정'!$C$6:$C$55,D241,'3_채널별_비용설정'!$D$6:$D$55,"&lt;="&amp;B241,'3_채널별_비용설정'!$L$6:$L$55,"&gt;="&amp;B241)=0,"비용 설정 필요",IF(COUNTIFS('3_채널별_비용설정'!$C$6:$C$55,D241,'3_채널별_비용설정'!$D$6:$D$55,"&lt;="&amp;B241,'3_채널별_비용설정'!$L$6:$L$55,"&gt;="&amp;B241)&gt;1,"기간 중복 확인","정상"))))</f>
      </c>
      <c r="K241" s="15" t="str">
        <f>IF(J241="","",IF(J241&lt;&gt;"정상","비용 설정 필요",SUMIFS('3_채널별_비용설정'!$F$6:$F$55,'3_채널별_비용설정'!$C$6:$C$55,D241,'3_채널별_비용설정'!$D$6:$D$55,"&lt;="&amp;B241,'3_채널별_비용설정'!$L$6:$L$55,"&gt;="&amp;B241)))</f>
      </c>
      <c r="L241" s="12" t="str">
        <f>IF(J241="","",IF(J241&lt;&gt;"정상","비용 설정 필요",ROUND(F241*K241,0)))</f>
      </c>
      <c r="M241" s="12" t="str">
        <f>IF(J241="","",IF(J241&lt;&gt;"정상","비용 설정 필요",SUMIFS('3_채널별_비용설정'!$J$6:$J$55,'3_채널별_비용설정'!$C$6:$C$55,D241,'3_채널별_비용설정'!$D$6:$D$55,"&lt;="&amp;B241,'3_채널별_비용설정'!$L$6:$L$55,"&gt;="&amp;B241)))</f>
      </c>
      <c r="N241" s="12" t="str">
        <f>IF(J241="","",IF(J241&lt;&gt;"정상","비용 설정 필요",E241*M241))</f>
      </c>
      <c r="O241" s="12" t="str">
        <f>IF(J241="","",IF(J241&lt;&gt;"정상","비용 설정 필요",G241+L241+N241+H241))</f>
      </c>
      <c r="P241" s="13" t="str">
        <f>IF(J241="","",IF(J241&lt;&gt;"정상","비용 설정 필요",F241-O241))</f>
      </c>
      <c r="Q241" s="14" t="str">
        <f>IF(J241="","",IF(J241&lt;&gt;"정상","비용 설정 필요",IFERROR(P241/F241,0)))</f>
      </c>
    </row>
    <row r="242">
      <c r="B242" s="7"/>
      <c r="C242" s="5"/>
      <c r="D242" s="5"/>
      <c r="E242" s="8"/>
      <c r="F242" s="8"/>
      <c r="G242" s="8"/>
      <c r="H242" s="8"/>
      <c r="I242" s="6"/>
      <c r="J242" s="10" t="str">
        <f>IF(AND(B242="",C242="",D242=""),"",IF(OR(B242="",D242=""),"비용 설정 필요",IF(COUNTIFS('3_채널별_비용설정'!$C$6:$C$55,D242,'3_채널별_비용설정'!$D$6:$D$55,"&lt;="&amp;B242,'3_채널별_비용설정'!$L$6:$L$55,"&gt;="&amp;B242)=0,"비용 설정 필요",IF(COUNTIFS('3_채널별_비용설정'!$C$6:$C$55,D242,'3_채널별_비용설정'!$D$6:$D$55,"&lt;="&amp;B242,'3_채널별_비용설정'!$L$6:$L$55,"&gt;="&amp;B242)&gt;1,"기간 중복 확인","정상"))))</f>
      </c>
      <c r="K242" s="15" t="str">
        <f>IF(J242="","",IF(J242&lt;&gt;"정상","비용 설정 필요",SUMIFS('3_채널별_비용설정'!$F$6:$F$55,'3_채널별_비용설정'!$C$6:$C$55,D242,'3_채널별_비용설정'!$D$6:$D$55,"&lt;="&amp;B242,'3_채널별_비용설정'!$L$6:$L$55,"&gt;="&amp;B242)))</f>
      </c>
      <c r="L242" s="12" t="str">
        <f>IF(J242="","",IF(J242&lt;&gt;"정상","비용 설정 필요",ROUND(F242*K242,0)))</f>
      </c>
      <c r="M242" s="12" t="str">
        <f>IF(J242="","",IF(J242&lt;&gt;"정상","비용 설정 필요",SUMIFS('3_채널별_비용설정'!$J$6:$J$55,'3_채널별_비용설정'!$C$6:$C$55,D242,'3_채널별_비용설정'!$D$6:$D$55,"&lt;="&amp;B242,'3_채널별_비용설정'!$L$6:$L$55,"&gt;="&amp;B242)))</f>
      </c>
      <c r="N242" s="12" t="str">
        <f>IF(J242="","",IF(J242&lt;&gt;"정상","비용 설정 필요",E242*M242))</f>
      </c>
      <c r="O242" s="12" t="str">
        <f>IF(J242="","",IF(J242&lt;&gt;"정상","비용 설정 필요",G242+L242+N242+H242))</f>
      </c>
      <c r="P242" s="13" t="str">
        <f>IF(J242="","",IF(J242&lt;&gt;"정상","비용 설정 필요",F242-O242))</f>
      </c>
      <c r="Q242" s="14" t="str">
        <f>IF(J242="","",IF(J242&lt;&gt;"정상","비용 설정 필요",IFERROR(P242/F242,0)))</f>
      </c>
    </row>
    <row r="243">
      <c r="B243" s="7"/>
      <c r="C243" s="5"/>
      <c r="D243" s="5"/>
      <c r="E243" s="8"/>
      <c r="F243" s="8"/>
      <c r="G243" s="8"/>
      <c r="H243" s="8"/>
      <c r="I243" s="6"/>
      <c r="J243" s="10" t="str">
        <f>IF(AND(B243="",C243="",D243=""),"",IF(OR(B243="",D243=""),"비용 설정 필요",IF(COUNTIFS('3_채널별_비용설정'!$C$6:$C$55,D243,'3_채널별_비용설정'!$D$6:$D$55,"&lt;="&amp;B243,'3_채널별_비용설정'!$L$6:$L$55,"&gt;="&amp;B243)=0,"비용 설정 필요",IF(COUNTIFS('3_채널별_비용설정'!$C$6:$C$55,D243,'3_채널별_비용설정'!$D$6:$D$55,"&lt;="&amp;B243,'3_채널별_비용설정'!$L$6:$L$55,"&gt;="&amp;B243)&gt;1,"기간 중복 확인","정상"))))</f>
      </c>
      <c r="K243" s="15" t="str">
        <f>IF(J243="","",IF(J243&lt;&gt;"정상","비용 설정 필요",SUMIFS('3_채널별_비용설정'!$F$6:$F$55,'3_채널별_비용설정'!$C$6:$C$55,D243,'3_채널별_비용설정'!$D$6:$D$55,"&lt;="&amp;B243,'3_채널별_비용설정'!$L$6:$L$55,"&gt;="&amp;B243)))</f>
      </c>
      <c r="L243" s="12" t="str">
        <f>IF(J243="","",IF(J243&lt;&gt;"정상","비용 설정 필요",ROUND(F243*K243,0)))</f>
      </c>
      <c r="M243" s="12" t="str">
        <f>IF(J243="","",IF(J243&lt;&gt;"정상","비용 설정 필요",SUMIFS('3_채널별_비용설정'!$J$6:$J$55,'3_채널별_비용설정'!$C$6:$C$55,D243,'3_채널별_비용설정'!$D$6:$D$55,"&lt;="&amp;B243,'3_채널별_비용설정'!$L$6:$L$55,"&gt;="&amp;B243)))</f>
      </c>
      <c r="N243" s="12" t="str">
        <f>IF(J243="","",IF(J243&lt;&gt;"정상","비용 설정 필요",E243*M243))</f>
      </c>
      <c r="O243" s="12" t="str">
        <f>IF(J243="","",IF(J243&lt;&gt;"정상","비용 설정 필요",G243+L243+N243+H243))</f>
      </c>
      <c r="P243" s="13" t="str">
        <f>IF(J243="","",IF(J243&lt;&gt;"정상","비용 설정 필요",F243-O243))</f>
      </c>
      <c r="Q243" s="14" t="str">
        <f>IF(J243="","",IF(J243&lt;&gt;"정상","비용 설정 필요",IFERROR(P243/F243,0)))</f>
      </c>
    </row>
    <row r="244">
      <c r="B244" s="7"/>
      <c r="C244" s="5"/>
      <c r="D244" s="5"/>
      <c r="E244" s="8"/>
      <c r="F244" s="8"/>
      <c r="G244" s="8"/>
      <c r="H244" s="8"/>
      <c r="I244" s="6"/>
      <c r="J244" s="10" t="str">
        <f>IF(AND(B244="",C244="",D244=""),"",IF(OR(B244="",D244=""),"비용 설정 필요",IF(COUNTIFS('3_채널별_비용설정'!$C$6:$C$55,D244,'3_채널별_비용설정'!$D$6:$D$55,"&lt;="&amp;B244,'3_채널별_비용설정'!$L$6:$L$55,"&gt;="&amp;B244)=0,"비용 설정 필요",IF(COUNTIFS('3_채널별_비용설정'!$C$6:$C$55,D244,'3_채널별_비용설정'!$D$6:$D$55,"&lt;="&amp;B244,'3_채널별_비용설정'!$L$6:$L$55,"&gt;="&amp;B244)&gt;1,"기간 중복 확인","정상"))))</f>
      </c>
      <c r="K244" s="15" t="str">
        <f>IF(J244="","",IF(J244&lt;&gt;"정상","비용 설정 필요",SUMIFS('3_채널별_비용설정'!$F$6:$F$55,'3_채널별_비용설정'!$C$6:$C$55,D244,'3_채널별_비용설정'!$D$6:$D$55,"&lt;="&amp;B244,'3_채널별_비용설정'!$L$6:$L$55,"&gt;="&amp;B244)))</f>
      </c>
      <c r="L244" s="12" t="str">
        <f>IF(J244="","",IF(J244&lt;&gt;"정상","비용 설정 필요",ROUND(F244*K244,0)))</f>
      </c>
      <c r="M244" s="12" t="str">
        <f>IF(J244="","",IF(J244&lt;&gt;"정상","비용 설정 필요",SUMIFS('3_채널별_비용설정'!$J$6:$J$55,'3_채널별_비용설정'!$C$6:$C$55,D244,'3_채널별_비용설정'!$D$6:$D$55,"&lt;="&amp;B244,'3_채널별_비용설정'!$L$6:$L$55,"&gt;="&amp;B244)))</f>
      </c>
      <c r="N244" s="12" t="str">
        <f>IF(J244="","",IF(J244&lt;&gt;"정상","비용 설정 필요",E244*M244))</f>
      </c>
      <c r="O244" s="12" t="str">
        <f>IF(J244="","",IF(J244&lt;&gt;"정상","비용 설정 필요",G244+L244+N244+H244))</f>
      </c>
      <c r="P244" s="13" t="str">
        <f>IF(J244="","",IF(J244&lt;&gt;"정상","비용 설정 필요",F244-O244))</f>
      </c>
      <c r="Q244" s="14" t="str">
        <f>IF(J244="","",IF(J244&lt;&gt;"정상","비용 설정 필요",IFERROR(P244/F244,0)))</f>
      </c>
    </row>
    <row r="245">
      <c r="B245" s="7"/>
      <c r="C245" s="5"/>
      <c r="D245" s="5"/>
      <c r="E245" s="8"/>
      <c r="F245" s="8"/>
      <c r="G245" s="8"/>
      <c r="H245" s="8"/>
      <c r="I245" s="6"/>
      <c r="J245" s="10" t="str">
        <f>IF(AND(B245="",C245="",D245=""),"",IF(OR(B245="",D245=""),"비용 설정 필요",IF(COUNTIFS('3_채널별_비용설정'!$C$6:$C$55,D245,'3_채널별_비용설정'!$D$6:$D$55,"&lt;="&amp;B245,'3_채널별_비용설정'!$L$6:$L$55,"&gt;="&amp;B245)=0,"비용 설정 필요",IF(COUNTIFS('3_채널별_비용설정'!$C$6:$C$55,D245,'3_채널별_비용설정'!$D$6:$D$55,"&lt;="&amp;B245,'3_채널별_비용설정'!$L$6:$L$55,"&gt;="&amp;B245)&gt;1,"기간 중복 확인","정상"))))</f>
      </c>
      <c r="K245" s="15" t="str">
        <f>IF(J245="","",IF(J245&lt;&gt;"정상","비용 설정 필요",SUMIFS('3_채널별_비용설정'!$F$6:$F$55,'3_채널별_비용설정'!$C$6:$C$55,D245,'3_채널별_비용설정'!$D$6:$D$55,"&lt;="&amp;B245,'3_채널별_비용설정'!$L$6:$L$55,"&gt;="&amp;B245)))</f>
      </c>
      <c r="L245" s="12" t="str">
        <f>IF(J245="","",IF(J245&lt;&gt;"정상","비용 설정 필요",ROUND(F245*K245,0)))</f>
      </c>
      <c r="M245" s="12" t="str">
        <f>IF(J245="","",IF(J245&lt;&gt;"정상","비용 설정 필요",SUMIFS('3_채널별_비용설정'!$J$6:$J$55,'3_채널별_비용설정'!$C$6:$C$55,D245,'3_채널별_비용설정'!$D$6:$D$55,"&lt;="&amp;B245,'3_채널별_비용설정'!$L$6:$L$55,"&gt;="&amp;B245)))</f>
      </c>
      <c r="N245" s="12" t="str">
        <f>IF(J245="","",IF(J245&lt;&gt;"정상","비용 설정 필요",E245*M245))</f>
      </c>
      <c r="O245" s="12" t="str">
        <f>IF(J245="","",IF(J245&lt;&gt;"정상","비용 설정 필요",G245+L245+N245+H245))</f>
      </c>
      <c r="P245" s="13" t="str">
        <f>IF(J245="","",IF(J245&lt;&gt;"정상","비용 설정 필요",F245-O245))</f>
      </c>
      <c r="Q245" s="14" t="str">
        <f>IF(J245="","",IF(J245&lt;&gt;"정상","비용 설정 필요",IFERROR(P245/F245,0)))</f>
      </c>
    </row>
    <row r="246">
      <c r="B246" s="7"/>
      <c r="C246" s="5"/>
      <c r="D246" s="5"/>
      <c r="E246" s="8"/>
      <c r="F246" s="8"/>
      <c r="G246" s="8"/>
      <c r="H246" s="8"/>
      <c r="I246" s="6"/>
      <c r="J246" s="10" t="str">
        <f>IF(AND(B246="",C246="",D246=""),"",IF(OR(B246="",D246=""),"비용 설정 필요",IF(COUNTIFS('3_채널별_비용설정'!$C$6:$C$55,D246,'3_채널별_비용설정'!$D$6:$D$55,"&lt;="&amp;B246,'3_채널별_비용설정'!$L$6:$L$55,"&gt;="&amp;B246)=0,"비용 설정 필요",IF(COUNTIFS('3_채널별_비용설정'!$C$6:$C$55,D246,'3_채널별_비용설정'!$D$6:$D$55,"&lt;="&amp;B246,'3_채널별_비용설정'!$L$6:$L$55,"&gt;="&amp;B246)&gt;1,"기간 중복 확인","정상"))))</f>
      </c>
      <c r="K246" s="15" t="str">
        <f>IF(J246="","",IF(J246&lt;&gt;"정상","비용 설정 필요",SUMIFS('3_채널별_비용설정'!$F$6:$F$55,'3_채널별_비용설정'!$C$6:$C$55,D246,'3_채널별_비용설정'!$D$6:$D$55,"&lt;="&amp;B246,'3_채널별_비용설정'!$L$6:$L$55,"&gt;="&amp;B246)))</f>
      </c>
      <c r="L246" s="12" t="str">
        <f>IF(J246="","",IF(J246&lt;&gt;"정상","비용 설정 필요",ROUND(F246*K246,0)))</f>
      </c>
      <c r="M246" s="12" t="str">
        <f>IF(J246="","",IF(J246&lt;&gt;"정상","비용 설정 필요",SUMIFS('3_채널별_비용설정'!$J$6:$J$55,'3_채널별_비용설정'!$C$6:$C$55,D246,'3_채널별_비용설정'!$D$6:$D$55,"&lt;="&amp;B246,'3_채널별_비용설정'!$L$6:$L$55,"&gt;="&amp;B246)))</f>
      </c>
      <c r="N246" s="12" t="str">
        <f>IF(J246="","",IF(J246&lt;&gt;"정상","비용 설정 필요",E246*M246))</f>
      </c>
      <c r="O246" s="12" t="str">
        <f>IF(J246="","",IF(J246&lt;&gt;"정상","비용 설정 필요",G246+L246+N246+H246))</f>
      </c>
      <c r="P246" s="13" t="str">
        <f>IF(J246="","",IF(J246&lt;&gt;"정상","비용 설정 필요",F246-O246))</f>
      </c>
      <c r="Q246" s="14" t="str">
        <f>IF(J246="","",IF(J246&lt;&gt;"정상","비용 설정 필요",IFERROR(P246/F246,0)))</f>
      </c>
    </row>
    <row r="247">
      <c r="B247" s="7"/>
      <c r="C247" s="5"/>
      <c r="D247" s="5"/>
      <c r="E247" s="8"/>
      <c r="F247" s="8"/>
      <c r="G247" s="8"/>
      <c r="H247" s="8"/>
      <c r="I247" s="6"/>
      <c r="J247" s="10" t="str">
        <f>IF(AND(B247="",C247="",D247=""),"",IF(OR(B247="",D247=""),"비용 설정 필요",IF(COUNTIFS('3_채널별_비용설정'!$C$6:$C$55,D247,'3_채널별_비용설정'!$D$6:$D$55,"&lt;="&amp;B247,'3_채널별_비용설정'!$L$6:$L$55,"&gt;="&amp;B247)=0,"비용 설정 필요",IF(COUNTIFS('3_채널별_비용설정'!$C$6:$C$55,D247,'3_채널별_비용설정'!$D$6:$D$55,"&lt;="&amp;B247,'3_채널별_비용설정'!$L$6:$L$55,"&gt;="&amp;B247)&gt;1,"기간 중복 확인","정상"))))</f>
      </c>
      <c r="K247" s="15" t="str">
        <f>IF(J247="","",IF(J247&lt;&gt;"정상","비용 설정 필요",SUMIFS('3_채널별_비용설정'!$F$6:$F$55,'3_채널별_비용설정'!$C$6:$C$55,D247,'3_채널별_비용설정'!$D$6:$D$55,"&lt;="&amp;B247,'3_채널별_비용설정'!$L$6:$L$55,"&gt;="&amp;B247)))</f>
      </c>
      <c r="L247" s="12" t="str">
        <f>IF(J247="","",IF(J247&lt;&gt;"정상","비용 설정 필요",ROUND(F247*K247,0)))</f>
      </c>
      <c r="M247" s="12" t="str">
        <f>IF(J247="","",IF(J247&lt;&gt;"정상","비용 설정 필요",SUMIFS('3_채널별_비용설정'!$J$6:$J$55,'3_채널별_비용설정'!$C$6:$C$55,D247,'3_채널별_비용설정'!$D$6:$D$55,"&lt;="&amp;B247,'3_채널별_비용설정'!$L$6:$L$55,"&gt;="&amp;B247)))</f>
      </c>
      <c r="N247" s="12" t="str">
        <f>IF(J247="","",IF(J247&lt;&gt;"정상","비용 설정 필요",E247*M247))</f>
      </c>
      <c r="O247" s="12" t="str">
        <f>IF(J247="","",IF(J247&lt;&gt;"정상","비용 설정 필요",G247+L247+N247+H247))</f>
      </c>
      <c r="P247" s="13" t="str">
        <f>IF(J247="","",IF(J247&lt;&gt;"정상","비용 설정 필요",F247-O247))</f>
      </c>
      <c r="Q247" s="14" t="str">
        <f>IF(J247="","",IF(J247&lt;&gt;"정상","비용 설정 필요",IFERROR(P247/F247,0)))</f>
      </c>
    </row>
    <row r="248">
      <c r="B248" s="7"/>
      <c r="C248" s="5"/>
      <c r="D248" s="5"/>
      <c r="E248" s="8"/>
      <c r="F248" s="8"/>
      <c r="G248" s="8"/>
      <c r="H248" s="8"/>
      <c r="I248" s="6"/>
      <c r="J248" s="10" t="str">
        <f>IF(AND(B248="",C248="",D248=""),"",IF(OR(B248="",D248=""),"비용 설정 필요",IF(COUNTIFS('3_채널별_비용설정'!$C$6:$C$55,D248,'3_채널별_비용설정'!$D$6:$D$55,"&lt;="&amp;B248,'3_채널별_비용설정'!$L$6:$L$55,"&gt;="&amp;B248)=0,"비용 설정 필요",IF(COUNTIFS('3_채널별_비용설정'!$C$6:$C$55,D248,'3_채널별_비용설정'!$D$6:$D$55,"&lt;="&amp;B248,'3_채널별_비용설정'!$L$6:$L$55,"&gt;="&amp;B248)&gt;1,"기간 중복 확인","정상"))))</f>
      </c>
      <c r="K248" s="15" t="str">
        <f>IF(J248="","",IF(J248&lt;&gt;"정상","비용 설정 필요",SUMIFS('3_채널별_비용설정'!$F$6:$F$55,'3_채널별_비용설정'!$C$6:$C$55,D248,'3_채널별_비용설정'!$D$6:$D$55,"&lt;="&amp;B248,'3_채널별_비용설정'!$L$6:$L$55,"&gt;="&amp;B248)))</f>
      </c>
      <c r="L248" s="12" t="str">
        <f>IF(J248="","",IF(J248&lt;&gt;"정상","비용 설정 필요",ROUND(F248*K248,0)))</f>
      </c>
      <c r="M248" s="12" t="str">
        <f>IF(J248="","",IF(J248&lt;&gt;"정상","비용 설정 필요",SUMIFS('3_채널별_비용설정'!$J$6:$J$55,'3_채널별_비용설정'!$C$6:$C$55,D248,'3_채널별_비용설정'!$D$6:$D$55,"&lt;="&amp;B248,'3_채널별_비용설정'!$L$6:$L$55,"&gt;="&amp;B248)))</f>
      </c>
      <c r="N248" s="12" t="str">
        <f>IF(J248="","",IF(J248&lt;&gt;"정상","비용 설정 필요",E248*M248))</f>
      </c>
      <c r="O248" s="12" t="str">
        <f>IF(J248="","",IF(J248&lt;&gt;"정상","비용 설정 필요",G248+L248+N248+H248))</f>
      </c>
      <c r="P248" s="13" t="str">
        <f>IF(J248="","",IF(J248&lt;&gt;"정상","비용 설정 필요",F248-O248))</f>
      </c>
      <c r="Q248" s="14" t="str">
        <f>IF(J248="","",IF(J248&lt;&gt;"정상","비용 설정 필요",IFERROR(P248/F248,0)))</f>
      </c>
    </row>
    <row r="249">
      <c r="B249" s="7"/>
      <c r="C249" s="5"/>
      <c r="D249" s="5"/>
      <c r="E249" s="8"/>
      <c r="F249" s="8"/>
      <c r="G249" s="8"/>
      <c r="H249" s="8"/>
      <c r="I249" s="6"/>
      <c r="J249" s="10" t="str">
        <f>IF(AND(B249="",C249="",D249=""),"",IF(OR(B249="",D249=""),"비용 설정 필요",IF(COUNTIFS('3_채널별_비용설정'!$C$6:$C$55,D249,'3_채널별_비용설정'!$D$6:$D$55,"&lt;="&amp;B249,'3_채널별_비용설정'!$L$6:$L$55,"&gt;="&amp;B249)=0,"비용 설정 필요",IF(COUNTIFS('3_채널별_비용설정'!$C$6:$C$55,D249,'3_채널별_비용설정'!$D$6:$D$55,"&lt;="&amp;B249,'3_채널별_비용설정'!$L$6:$L$55,"&gt;="&amp;B249)&gt;1,"기간 중복 확인","정상"))))</f>
      </c>
      <c r="K249" s="15" t="str">
        <f>IF(J249="","",IF(J249&lt;&gt;"정상","비용 설정 필요",SUMIFS('3_채널별_비용설정'!$F$6:$F$55,'3_채널별_비용설정'!$C$6:$C$55,D249,'3_채널별_비용설정'!$D$6:$D$55,"&lt;="&amp;B249,'3_채널별_비용설정'!$L$6:$L$55,"&gt;="&amp;B249)))</f>
      </c>
      <c r="L249" s="12" t="str">
        <f>IF(J249="","",IF(J249&lt;&gt;"정상","비용 설정 필요",ROUND(F249*K249,0)))</f>
      </c>
      <c r="M249" s="12" t="str">
        <f>IF(J249="","",IF(J249&lt;&gt;"정상","비용 설정 필요",SUMIFS('3_채널별_비용설정'!$J$6:$J$55,'3_채널별_비용설정'!$C$6:$C$55,D249,'3_채널별_비용설정'!$D$6:$D$55,"&lt;="&amp;B249,'3_채널별_비용설정'!$L$6:$L$55,"&gt;="&amp;B249)))</f>
      </c>
      <c r="N249" s="12" t="str">
        <f>IF(J249="","",IF(J249&lt;&gt;"정상","비용 설정 필요",E249*M249))</f>
      </c>
      <c r="O249" s="12" t="str">
        <f>IF(J249="","",IF(J249&lt;&gt;"정상","비용 설정 필요",G249+L249+N249+H249))</f>
      </c>
      <c r="P249" s="13" t="str">
        <f>IF(J249="","",IF(J249&lt;&gt;"정상","비용 설정 필요",F249-O249))</f>
      </c>
      <c r="Q249" s="14" t="str">
        <f>IF(J249="","",IF(J249&lt;&gt;"정상","비용 설정 필요",IFERROR(P249/F249,0)))</f>
      </c>
    </row>
    <row r="250">
      <c r="B250" s="7"/>
      <c r="C250" s="5"/>
      <c r="D250" s="5"/>
      <c r="E250" s="8"/>
      <c r="F250" s="8"/>
      <c r="G250" s="8"/>
      <c r="H250" s="8"/>
      <c r="I250" s="6"/>
      <c r="J250" s="10" t="str">
        <f>IF(AND(B250="",C250="",D250=""),"",IF(OR(B250="",D250=""),"비용 설정 필요",IF(COUNTIFS('3_채널별_비용설정'!$C$6:$C$55,D250,'3_채널별_비용설정'!$D$6:$D$55,"&lt;="&amp;B250,'3_채널별_비용설정'!$L$6:$L$55,"&gt;="&amp;B250)=0,"비용 설정 필요",IF(COUNTIFS('3_채널별_비용설정'!$C$6:$C$55,D250,'3_채널별_비용설정'!$D$6:$D$55,"&lt;="&amp;B250,'3_채널별_비용설정'!$L$6:$L$55,"&gt;="&amp;B250)&gt;1,"기간 중복 확인","정상"))))</f>
      </c>
      <c r="K250" s="15" t="str">
        <f>IF(J250="","",IF(J250&lt;&gt;"정상","비용 설정 필요",SUMIFS('3_채널별_비용설정'!$F$6:$F$55,'3_채널별_비용설정'!$C$6:$C$55,D250,'3_채널별_비용설정'!$D$6:$D$55,"&lt;="&amp;B250,'3_채널별_비용설정'!$L$6:$L$55,"&gt;="&amp;B250)))</f>
      </c>
      <c r="L250" s="12" t="str">
        <f>IF(J250="","",IF(J250&lt;&gt;"정상","비용 설정 필요",ROUND(F250*K250,0)))</f>
      </c>
      <c r="M250" s="12" t="str">
        <f>IF(J250="","",IF(J250&lt;&gt;"정상","비용 설정 필요",SUMIFS('3_채널별_비용설정'!$J$6:$J$55,'3_채널별_비용설정'!$C$6:$C$55,D250,'3_채널별_비용설정'!$D$6:$D$55,"&lt;="&amp;B250,'3_채널별_비용설정'!$L$6:$L$55,"&gt;="&amp;B250)))</f>
      </c>
      <c r="N250" s="12" t="str">
        <f>IF(J250="","",IF(J250&lt;&gt;"정상","비용 설정 필요",E250*M250))</f>
      </c>
      <c r="O250" s="12" t="str">
        <f>IF(J250="","",IF(J250&lt;&gt;"정상","비용 설정 필요",G250+L250+N250+H250))</f>
      </c>
      <c r="P250" s="13" t="str">
        <f>IF(J250="","",IF(J250&lt;&gt;"정상","비용 설정 필요",F250-O250))</f>
      </c>
      <c r="Q250" s="14" t="str">
        <f>IF(J250="","",IF(J250&lt;&gt;"정상","비용 설정 필요",IFERROR(P250/F250,0)))</f>
      </c>
    </row>
    <row r="251">
      <c r="B251" s="7"/>
      <c r="C251" s="5"/>
      <c r="D251" s="5"/>
      <c r="E251" s="8"/>
      <c r="F251" s="8"/>
      <c r="G251" s="8"/>
      <c r="H251" s="8"/>
      <c r="I251" s="6"/>
      <c r="J251" s="10" t="str">
        <f>IF(AND(B251="",C251="",D251=""),"",IF(OR(B251="",D251=""),"비용 설정 필요",IF(COUNTIFS('3_채널별_비용설정'!$C$6:$C$55,D251,'3_채널별_비용설정'!$D$6:$D$55,"&lt;="&amp;B251,'3_채널별_비용설정'!$L$6:$L$55,"&gt;="&amp;B251)=0,"비용 설정 필요",IF(COUNTIFS('3_채널별_비용설정'!$C$6:$C$55,D251,'3_채널별_비용설정'!$D$6:$D$55,"&lt;="&amp;B251,'3_채널별_비용설정'!$L$6:$L$55,"&gt;="&amp;B251)&gt;1,"기간 중복 확인","정상"))))</f>
      </c>
      <c r="K251" s="15" t="str">
        <f>IF(J251="","",IF(J251&lt;&gt;"정상","비용 설정 필요",SUMIFS('3_채널별_비용설정'!$F$6:$F$55,'3_채널별_비용설정'!$C$6:$C$55,D251,'3_채널별_비용설정'!$D$6:$D$55,"&lt;="&amp;B251,'3_채널별_비용설정'!$L$6:$L$55,"&gt;="&amp;B251)))</f>
      </c>
      <c r="L251" s="12" t="str">
        <f>IF(J251="","",IF(J251&lt;&gt;"정상","비용 설정 필요",ROUND(F251*K251,0)))</f>
      </c>
      <c r="M251" s="12" t="str">
        <f>IF(J251="","",IF(J251&lt;&gt;"정상","비용 설정 필요",SUMIFS('3_채널별_비용설정'!$J$6:$J$55,'3_채널별_비용설정'!$C$6:$C$55,D251,'3_채널별_비용설정'!$D$6:$D$55,"&lt;="&amp;B251,'3_채널별_비용설정'!$L$6:$L$55,"&gt;="&amp;B251)))</f>
      </c>
      <c r="N251" s="12" t="str">
        <f>IF(J251="","",IF(J251&lt;&gt;"정상","비용 설정 필요",E251*M251))</f>
      </c>
      <c r="O251" s="12" t="str">
        <f>IF(J251="","",IF(J251&lt;&gt;"정상","비용 설정 필요",G251+L251+N251+H251))</f>
      </c>
      <c r="P251" s="13" t="str">
        <f>IF(J251="","",IF(J251&lt;&gt;"정상","비용 설정 필요",F251-O251))</f>
      </c>
      <c r="Q251" s="14" t="str">
        <f>IF(J251="","",IF(J251&lt;&gt;"정상","비용 설정 필요",IFERROR(P251/F251,0)))</f>
      </c>
    </row>
    <row r="252">
      <c r="B252" s="7"/>
      <c r="C252" s="5"/>
      <c r="D252" s="5"/>
      <c r="E252" s="8"/>
      <c r="F252" s="8"/>
      <c r="G252" s="8"/>
      <c r="H252" s="8"/>
      <c r="I252" s="6"/>
      <c r="J252" s="10" t="str">
        <f>IF(AND(B252="",C252="",D252=""),"",IF(OR(B252="",D252=""),"비용 설정 필요",IF(COUNTIFS('3_채널별_비용설정'!$C$6:$C$55,D252,'3_채널별_비용설정'!$D$6:$D$55,"&lt;="&amp;B252,'3_채널별_비용설정'!$L$6:$L$55,"&gt;="&amp;B252)=0,"비용 설정 필요",IF(COUNTIFS('3_채널별_비용설정'!$C$6:$C$55,D252,'3_채널별_비용설정'!$D$6:$D$55,"&lt;="&amp;B252,'3_채널별_비용설정'!$L$6:$L$55,"&gt;="&amp;B252)&gt;1,"기간 중복 확인","정상"))))</f>
      </c>
      <c r="K252" s="15" t="str">
        <f>IF(J252="","",IF(J252&lt;&gt;"정상","비용 설정 필요",SUMIFS('3_채널별_비용설정'!$F$6:$F$55,'3_채널별_비용설정'!$C$6:$C$55,D252,'3_채널별_비용설정'!$D$6:$D$55,"&lt;="&amp;B252,'3_채널별_비용설정'!$L$6:$L$55,"&gt;="&amp;B252)))</f>
      </c>
      <c r="L252" s="12" t="str">
        <f>IF(J252="","",IF(J252&lt;&gt;"정상","비용 설정 필요",ROUND(F252*K252,0)))</f>
      </c>
      <c r="M252" s="12" t="str">
        <f>IF(J252="","",IF(J252&lt;&gt;"정상","비용 설정 필요",SUMIFS('3_채널별_비용설정'!$J$6:$J$55,'3_채널별_비용설정'!$C$6:$C$55,D252,'3_채널별_비용설정'!$D$6:$D$55,"&lt;="&amp;B252,'3_채널별_비용설정'!$L$6:$L$55,"&gt;="&amp;B252)))</f>
      </c>
      <c r="N252" s="12" t="str">
        <f>IF(J252="","",IF(J252&lt;&gt;"정상","비용 설정 필요",E252*M252))</f>
      </c>
      <c r="O252" s="12" t="str">
        <f>IF(J252="","",IF(J252&lt;&gt;"정상","비용 설정 필요",G252+L252+N252+H252))</f>
      </c>
      <c r="P252" s="13" t="str">
        <f>IF(J252="","",IF(J252&lt;&gt;"정상","비용 설정 필요",F252-O252))</f>
      </c>
      <c r="Q252" s="14" t="str">
        <f>IF(J252="","",IF(J252&lt;&gt;"정상","비용 설정 필요",IFERROR(P252/F252,0)))</f>
      </c>
    </row>
    <row r="253">
      <c r="B253" s="7"/>
      <c r="C253" s="5"/>
      <c r="D253" s="5"/>
      <c r="E253" s="8"/>
      <c r="F253" s="8"/>
      <c r="G253" s="8"/>
      <c r="H253" s="8"/>
      <c r="I253" s="6"/>
      <c r="J253" s="10" t="str">
        <f>IF(AND(B253="",C253="",D253=""),"",IF(OR(B253="",D253=""),"비용 설정 필요",IF(COUNTIFS('3_채널별_비용설정'!$C$6:$C$55,D253,'3_채널별_비용설정'!$D$6:$D$55,"&lt;="&amp;B253,'3_채널별_비용설정'!$L$6:$L$55,"&gt;="&amp;B253)=0,"비용 설정 필요",IF(COUNTIFS('3_채널별_비용설정'!$C$6:$C$55,D253,'3_채널별_비용설정'!$D$6:$D$55,"&lt;="&amp;B253,'3_채널별_비용설정'!$L$6:$L$55,"&gt;="&amp;B253)&gt;1,"기간 중복 확인","정상"))))</f>
      </c>
      <c r="K253" s="15" t="str">
        <f>IF(J253="","",IF(J253&lt;&gt;"정상","비용 설정 필요",SUMIFS('3_채널별_비용설정'!$F$6:$F$55,'3_채널별_비용설정'!$C$6:$C$55,D253,'3_채널별_비용설정'!$D$6:$D$55,"&lt;="&amp;B253,'3_채널별_비용설정'!$L$6:$L$55,"&gt;="&amp;B253)))</f>
      </c>
      <c r="L253" s="12" t="str">
        <f>IF(J253="","",IF(J253&lt;&gt;"정상","비용 설정 필요",ROUND(F253*K253,0)))</f>
      </c>
      <c r="M253" s="12" t="str">
        <f>IF(J253="","",IF(J253&lt;&gt;"정상","비용 설정 필요",SUMIFS('3_채널별_비용설정'!$J$6:$J$55,'3_채널별_비용설정'!$C$6:$C$55,D253,'3_채널별_비용설정'!$D$6:$D$55,"&lt;="&amp;B253,'3_채널별_비용설정'!$L$6:$L$55,"&gt;="&amp;B253)))</f>
      </c>
      <c r="N253" s="12" t="str">
        <f>IF(J253="","",IF(J253&lt;&gt;"정상","비용 설정 필요",E253*M253))</f>
      </c>
      <c r="O253" s="12" t="str">
        <f>IF(J253="","",IF(J253&lt;&gt;"정상","비용 설정 필요",G253+L253+N253+H253))</f>
      </c>
      <c r="P253" s="13" t="str">
        <f>IF(J253="","",IF(J253&lt;&gt;"정상","비용 설정 필요",F253-O253))</f>
      </c>
      <c r="Q253" s="14" t="str">
        <f>IF(J253="","",IF(J253&lt;&gt;"정상","비용 설정 필요",IFERROR(P253/F253,0)))</f>
      </c>
    </row>
    <row r="254">
      <c r="B254" s="7"/>
      <c r="C254" s="5"/>
      <c r="D254" s="5"/>
      <c r="E254" s="8"/>
      <c r="F254" s="8"/>
      <c r="G254" s="8"/>
      <c r="H254" s="8"/>
      <c r="I254" s="6"/>
      <c r="J254" s="10" t="str">
        <f>IF(AND(B254="",C254="",D254=""),"",IF(OR(B254="",D254=""),"비용 설정 필요",IF(COUNTIFS('3_채널별_비용설정'!$C$6:$C$55,D254,'3_채널별_비용설정'!$D$6:$D$55,"&lt;="&amp;B254,'3_채널별_비용설정'!$L$6:$L$55,"&gt;="&amp;B254)=0,"비용 설정 필요",IF(COUNTIFS('3_채널별_비용설정'!$C$6:$C$55,D254,'3_채널별_비용설정'!$D$6:$D$55,"&lt;="&amp;B254,'3_채널별_비용설정'!$L$6:$L$55,"&gt;="&amp;B254)&gt;1,"기간 중복 확인","정상"))))</f>
      </c>
      <c r="K254" s="15" t="str">
        <f>IF(J254="","",IF(J254&lt;&gt;"정상","비용 설정 필요",SUMIFS('3_채널별_비용설정'!$F$6:$F$55,'3_채널별_비용설정'!$C$6:$C$55,D254,'3_채널별_비용설정'!$D$6:$D$55,"&lt;="&amp;B254,'3_채널별_비용설정'!$L$6:$L$55,"&gt;="&amp;B254)))</f>
      </c>
      <c r="L254" s="12" t="str">
        <f>IF(J254="","",IF(J254&lt;&gt;"정상","비용 설정 필요",ROUND(F254*K254,0)))</f>
      </c>
      <c r="M254" s="12" t="str">
        <f>IF(J254="","",IF(J254&lt;&gt;"정상","비용 설정 필요",SUMIFS('3_채널별_비용설정'!$J$6:$J$55,'3_채널별_비용설정'!$C$6:$C$55,D254,'3_채널별_비용설정'!$D$6:$D$55,"&lt;="&amp;B254,'3_채널별_비용설정'!$L$6:$L$55,"&gt;="&amp;B254)))</f>
      </c>
      <c r="N254" s="12" t="str">
        <f>IF(J254="","",IF(J254&lt;&gt;"정상","비용 설정 필요",E254*M254))</f>
      </c>
      <c r="O254" s="12" t="str">
        <f>IF(J254="","",IF(J254&lt;&gt;"정상","비용 설정 필요",G254+L254+N254+H254))</f>
      </c>
      <c r="P254" s="13" t="str">
        <f>IF(J254="","",IF(J254&lt;&gt;"정상","비용 설정 필요",F254-O254))</f>
      </c>
      <c r="Q254" s="14" t="str">
        <f>IF(J254="","",IF(J254&lt;&gt;"정상","비용 설정 필요",IFERROR(P254/F254,0)))</f>
      </c>
    </row>
    <row r="255">
      <c r="B255" s="7"/>
      <c r="C255" s="5"/>
      <c r="D255" s="5"/>
      <c r="E255" s="8"/>
      <c r="F255" s="8"/>
      <c r="G255" s="8"/>
      <c r="H255" s="8"/>
      <c r="I255" s="6"/>
      <c r="J255" s="10" t="str">
        <f>IF(AND(B255="",C255="",D255=""),"",IF(OR(B255="",D255=""),"비용 설정 필요",IF(COUNTIFS('3_채널별_비용설정'!$C$6:$C$55,D255,'3_채널별_비용설정'!$D$6:$D$55,"&lt;="&amp;B255,'3_채널별_비용설정'!$L$6:$L$55,"&gt;="&amp;B255)=0,"비용 설정 필요",IF(COUNTIFS('3_채널별_비용설정'!$C$6:$C$55,D255,'3_채널별_비용설정'!$D$6:$D$55,"&lt;="&amp;B255,'3_채널별_비용설정'!$L$6:$L$55,"&gt;="&amp;B255)&gt;1,"기간 중복 확인","정상"))))</f>
      </c>
      <c r="K255" s="15" t="str">
        <f>IF(J255="","",IF(J255&lt;&gt;"정상","비용 설정 필요",SUMIFS('3_채널별_비용설정'!$F$6:$F$55,'3_채널별_비용설정'!$C$6:$C$55,D255,'3_채널별_비용설정'!$D$6:$D$55,"&lt;="&amp;B255,'3_채널별_비용설정'!$L$6:$L$55,"&gt;="&amp;B255)))</f>
      </c>
      <c r="L255" s="12" t="str">
        <f>IF(J255="","",IF(J255&lt;&gt;"정상","비용 설정 필요",ROUND(F255*K255,0)))</f>
      </c>
      <c r="M255" s="12" t="str">
        <f>IF(J255="","",IF(J255&lt;&gt;"정상","비용 설정 필요",SUMIFS('3_채널별_비용설정'!$J$6:$J$55,'3_채널별_비용설정'!$C$6:$C$55,D255,'3_채널별_비용설정'!$D$6:$D$55,"&lt;="&amp;B255,'3_채널별_비용설정'!$L$6:$L$55,"&gt;="&amp;B255)))</f>
      </c>
      <c r="N255" s="12" t="str">
        <f>IF(J255="","",IF(J255&lt;&gt;"정상","비용 설정 필요",E255*M255))</f>
      </c>
      <c r="O255" s="12" t="str">
        <f>IF(J255="","",IF(J255&lt;&gt;"정상","비용 설정 필요",G255+L255+N255+H255))</f>
      </c>
      <c r="P255" s="13" t="str">
        <f>IF(J255="","",IF(J255&lt;&gt;"정상","비용 설정 필요",F255-O255))</f>
      </c>
      <c r="Q255" s="14" t="str">
        <f>IF(J255="","",IF(J255&lt;&gt;"정상","비용 설정 필요",IFERROR(P255/F255,0)))</f>
      </c>
    </row>
    <row r="256">
      <c r="B256" s="7"/>
      <c r="C256" s="5"/>
      <c r="D256" s="5"/>
      <c r="E256" s="8"/>
      <c r="F256" s="8"/>
      <c r="G256" s="8"/>
      <c r="H256" s="8"/>
      <c r="I256" s="6"/>
      <c r="J256" s="10" t="str">
        <f>IF(AND(B256="",C256="",D256=""),"",IF(OR(B256="",D256=""),"비용 설정 필요",IF(COUNTIFS('3_채널별_비용설정'!$C$6:$C$55,D256,'3_채널별_비용설정'!$D$6:$D$55,"&lt;="&amp;B256,'3_채널별_비용설정'!$L$6:$L$55,"&gt;="&amp;B256)=0,"비용 설정 필요",IF(COUNTIFS('3_채널별_비용설정'!$C$6:$C$55,D256,'3_채널별_비용설정'!$D$6:$D$55,"&lt;="&amp;B256,'3_채널별_비용설정'!$L$6:$L$55,"&gt;="&amp;B256)&gt;1,"기간 중복 확인","정상"))))</f>
      </c>
      <c r="K256" s="15" t="str">
        <f>IF(J256="","",IF(J256&lt;&gt;"정상","비용 설정 필요",SUMIFS('3_채널별_비용설정'!$F$6:$F$55,'3_채널별_비용설정'!$C$6:$C$55,D256,'3_채널별_비용설정'!$D$6:$D$55,"&lt;="&amp;B256,'3_채널별_비용설정'!$L$6:$L$55,"&gt;="&amp;B256)))</f>
      </c>
      <c r="L256" s="12" t="str">
        <f>IF(J256="","",IF(J256&lt;&gt;"정상","비용 설정 필요",ROUND(F256*K256,0)))</f>
      </c>
      <c r="M256" s="12" t="str">
        <f>IF(J256="","",IF(J256&lt;&gt;"정상","비용 설정 필요",SUMIFS('3_채널별_비용설정'!$J$6:$J$55,'3_채널별_비용설정'!$C$6:$C$55,D256,'3_채널별_비용설정'!$D$6:$D$55,"&lt;="&amp;B256,'3_채널별_비용설정'!$L$6:$L$55,"&gt;="&amp;B256)))</f>
      </c>
      <c r="N256" s="12" t="str">
        <f>IF(J256="","",IF(J256&lt;&gt;"정상","비용 설정 필요",E256*M256))</f>
      </c>
      <c r="O256" s="12" t="str">
        <f>IF(J256="","",IF(J256&lt;&gt;"정상","비용 설정 필요",G256+L256+N256+H256))</f>
      </c>
      <c r="P256" s="13" t="str">
        <f>IF(J256="","",IF(J256&lt;&gt;"정상","비용 설정 필요",F256-O256))</f>
      </c>
      <c r="Q256" s="14" t="str">
        <f>IF(J256="","",IF(J256&lt;&gt;"정상","비용 설정 필요",IFERROR(P256/F256,0)))</f>
      </c>
    </row>
    <row r="257">
      <c r="B257" s="7"/>
      <c r="C257" s="5"/>
      <c r="D257" s="5"/>
      <c r="E257" s="8"/>
      <c r="F257" s="8"/>
      <c r="G257" s="8"/>
      <c r="H257" s="8"/>
      <c r="I257" s="6"/>
      <c r="J257" s="10" t="str">
        <f>IF(AND(B257="",C257="",D257=""),"",IF(OR(B257="",D257=""),"비용 설정 필요",IF(COUNTIFS('3_채널별_비용설정'!$C$6:$C$55,D257,'3_채널별_비용설정'!$D$6:$D$55,"&lt;="&amp;B257,'3_채널별_비용설정'!$L$6:$L$55,"&gt;="&amp;B257)=0,"비용 설정 필요",IF(COUNTIFS('3_채널별_비용설정'!$C$6:$C$55,D257,'3_채널별_비용설정'!$D$6:$D$55,"&lt;="&amp;B257,'3_채널별_비용설정'!$L$6:$L$55,"&gt;="&amp;B257)&gt;1,"기간 중복 확인","정상"))))</f>
      </c>
      <c r="K257" s="15" t="str">
        <f>IF(J257="","",IF(J257&lt;&gt;"정상","비용 설정 필요",SUMIFS('3_채널별_비용설정'!$F$6:$F$55,'3_채널별_비용설정'!$C$6:$C$55,D257,'3_채널별_비용설정'!$D$6:$D$55,"&lt;="&amp;B257,'3_채널별_비용설정'!$L$6:$L$55,"&gt;="&amp;B257)))</f>
      </c>
      <c r="L257" s="12" t="str">
        <f>IF(J257="","",IF(J257&lt;&gt;"정상","비용 설정 필요",ROUND(F257*K257,0)))</f>
      </c>
      <c r="M257" s="12" t="str">
        <f>IF(J257="","",IF(J257&lt;&gt;"정상","비용 설정 필요",SUMIFS('3_채널별_비용설정'!$J$6:$J$55,'3_채널별_비용설정'!$C$6:$C$55,D257,'3_채널별_비용설정'!$D$6:$D$55,"&lt;="&amp;B257,'3_채널별_비용설정'!$L$6:$L$55,"&gt;="&amp;B257)))</f>
      </c>
      <c r="N257" s="12" t="str">
        <f>IF(J257="","",IF(J257&lt;&gt;"정상","비용 설정 필요",E257*M257))</f>
      </c>
      <c r="O257" s="12" t="str">
        <f>IF(J257="","",IF(J257&lt;&gt;"정상","비용 설정 필요",G257+L257+N257+H257))</f>
      </c>
      <c r="P257" s="13" t="str">
        <f>IF(J257="","",IF(J257&lt;&gt;"정상","비용 설정 필요",F257-O257))</f>
      </c>
      <c r="Q257" s="14" t="str">
        <f>IF(J257="","",IF(J257&lt;&gt;"정상","비용 설정 필요",IFERROR(P257/F257,0)))</f>
      </c>
    </row>
    <row r="258">
      <c r="B258" s="7"/>
      <c r="C258" s="5"/>
      <c r="D258" s="5"/>
      <c r="E258" s="8"/>
      <c r="F258" s="8"/>
      <c r="G258" s="8"/>
      <c r="H258" s="8"/>
      <c r="I258" s="6"/>
      <c r="J258" s="10" t="str">
        <f>IF(AND(B258="",C258="",D258=""),"",IF(OR(B258="",D258=""),"비용 설정 필요",IF(COUNTIFS('3_채널별_비용설정'!$C$6:$C$55,D258,'3_채널별_비용설정'!$D$6:$D$55,"&lt;="&amp;B258,'3_채널별_비용설정'!$L$6:$L$55,"&gt;="&amp;B258)=0,"비용 설정 필요",IF(COUNTIFS('3_채널별_비용설정'!$C$6:$C$55,D258,'3_채널별_비용설정'!$D$6:$D$55,"&lt;="&amp;B258,'3_채널별_비용설정'!$L$6:$L$55,"&gt;="&amp;B258)&gt;1,"기간 중복 확인","정상"))))</f>
      </c>
      <c r="K258" s="15" t="str">
        <f>IF(J258="","",IF(J258&lt;&gt;"정상","비용 설정 필요",SUMIFS('3_채널별_비용설정'!$F$6:$F$55,'3_채널별_비용설정'!$C$6:$C$55,D258,'3_채널별_비용설정'!$D$6:$D$55,"&lt;="&amp;B258,'3_채널별_비용설정'!$L$6:$L$55,"&gt;="&amp;B258)))</f>
      </c>
      <c r="L258" s="12" t="str">
        <f>IF(J258="","",IF(J258&lt;&gt;"정상","비용 설정 필요",ROUND(F258*K258,0)))</f>
      </c>
      <c r="M258" s="12" t="str">
        <f>IF(J258="","",IF(J258&lt;&gt;"정상","비용 설정 필요",SUMIFS('3_채널별_비용설정'!$J$6:$J$55,'3_채널별_비용설정'!$C$6:$C$55,D258,'3_채널별_비용설정'!$D$6:$D$55,"&lt;="&amp;B258,'3_채널별_비용설정'!$L$6:$L$55,"&gt;="&amp;B258)))</f>
      </c>
      <c r="N258" s="12" t="str">
        <f>IF(J258="","",IF(J258&lt;&gt;"정상","비용 설정 필요",E258*M258))</f>
      </c>
      <c r="O258" s="12" t="str">
        <f>IF(J258="","",IF(J258&lt;&gt;"정상","비용 설정 필요",G258+L258+N258+H258))</f>
      </c>
      <c r="P258" s="13" t="str">
        <f>IF(J258="","",IF(J258&lt;&gt;"정상","비용 설정 필요",F258-O258))</f>
      </c>
      <c r="Q258" s="14" t="str">
        <f>IF(J258="","",IF(J258&lt;&gt;"정상","비용 설정 필요",IFERROR(P258/F258,0)))</f>
      </c>
    </row>
    <row r="259">
      <c r="B259" s="7"/>
      <c r="C259" s="5"/>
      <c r="D259" s="5"/>
      <c r="E259" s="8"/>
      <c r="F259" s="8"/>
      <c r="G259" s="8"/>
      <c r="H259" s="8"/>
      <c r="I259" s="6"/>
      <c r="J259" s="10" t="str">
        <f>IF(AND(B259="",C259="",D259=""),"",IF(OR(B259="",D259=""),"비용 설정 필요",IF(COUNTIFS('3_채널별_비용설정'!$C$6:$C$55,D259,'3_채널별_비용설정'!$D$6:$D$55,"&lt;="&amp;B259,'3_채널별_비용설정'!$L$6:$L$55,"&gt;="&amp;B259)=0,"비용 설정 필요",IF(COUNTIFS('3_채널별_비용설정'!$C$6:$C$55,D259,'3_채널별_비용설정'!$D$6:$D$55,"&lt;="&amp;B259,'3_채널별_비용설정'!$L$6:$L$55,"&gt;="&amp;B259)&gt;1,"기간 중복 확인","정상"))))</f>
      </c>
      <c r="K259" s="15" t="str">
        <f>IF(J259="","",IF(J259&lt;&gt;"정상","비용 설정 필요",SUMIFS('3_채널별_비용설정'!$F$6:$F$55,'3_채널별_비용설정'!$C$6:$C$55,D259,'3_채널별_비용설정'!$D$6:$D$55,"&lt;="&amp;B259,'3_채널별_비용설정'!$L$6:$L$55,"&gt;="&amp;B259)))</f>
      </c>
      <c r="L259" s="12" t="str">
        <f>IF(J259="","",IF(J259&lt;&gt;"정상","비용 설정 필요",ROUND(F259*K259,0)))</f>
      </c>
      <c r="M259" s="12" t="str">
        <f>IF(J259="","",IF(J259&lt;&gt;"정상","비용 설정 필요",SUMIFS('3_채널별_비용설정'!$J$6:$J$55,'3_채널별_비용설정'!$C$6:$C$55,D259,'3_채널별_비용설정'!$D$6:$D$55,"&lt;="&amp;B259,'3_채널별_비용설정'!$L$6:$L$55,"&gt;="&amp;B259)))</f>
      </c>
      <c r="N259" s="12" t="str">
        <f>IF(J259="","",IF(J259&lt;&gt;"정상","비용 설정 필요",E259*M259))</f>
      </c>
      <c r="O259" s="12" t="str">
        <f>IF(J259="","",IF(J259&lt;&gt;"정상","비용 설정 필요",G259+L259+N259+H259))</f>
      </c>
      <c r="P259" s="13" t="str">
        <f>IF(J259="","",IF(J259&lt;&gt;"정상","비용 설정 필요",F259-O259))</f>
      </c>
      <c r="Q259" s="14" t="str">
        <f>IF(J259="","",IF(J259&lt;&gt;"정상","비용 설정 필요",IFERROR(P259/F259,0)))</f>
      </c>
    </row>
    <row r="260">
      <c r="B260" s="7"/>
      <c r="C260" s="5"/>
      <c r="D260" s="5"/>
      <c r="E260" s="8"/>
      <c r="F260" s="8"/>
      <c r="G260" s="8"/>
      <c r="H260" s="8"/>
      <c r="I260" s="6"/>
      <c r="J260" s="10" t="str">
        <f>IF(AND(B260="",C260="",D260=""),"",IF(OR(B260="",D260=""),"비용 설정 필요",IF(COUNTIFS('3_채널별_비용설정'!$C$6:$C$55,D260,'3_채널별_비용설정'!$D$6:$D$55,"&lt;="&amp;B260,'3_채널별_비용설정'!$L$6:$L$55,"&gt;="&amp;B260)=0,"비용 설정 필요",IF(COUNTIFS('3_채널별_비용설정'!$C$6:$C$55,D260,'3_채널별_비용설정'!$D$6:$D$55,"&lt;="&amp;B260,'3_채널별_비용설정'!$L$6:$L$55,"&gt;="&amp;B260)&gt;1,"기간 중복 확인","정상"))))</f>
      </c>
      <c r="K260" s="15" t="str">
        <f>IF(J260="","",IF(J260&lt;&gt;"정상","비용 설정 필요",SUMIFS('3_채널별_비용설정'!$F$6:$F$55,'3_채널별_비용설정'!$C$6:$C$55,D260,'3_채널별_비용설정'!$D$6:$D$55,"&lt;="&amp;B260,'3_채널별_비용설정'!$L$6:$L$55,"&gt;="&amp;B260)))</f>
      </c>
      <c r="L260" s="12" t="str">
        <f>IF(J260="","",IF(J260&lt;&gt;"정상","비용 설정 필요",ROUND(F260*K260,0)))</f>
      </c>
      <c r="M260" s="12" t="str">
        <f>IF(J260="","",IF(J260&lt;&gt;"정상","비용 설정 필요",SUMIFS('3_채널별_비용설정'!$J$6:$J$55,'3_채널별_비용설정'!$C$6:$C$55,D260,'3_채널별_비용설정'!$D$6:$D$55,"&lt;="&amp;B260,'3_채널별_비용설정'!$L$6:$L$55,"&gt;="&amp;B260)))</f>
      </c>
      <c r="N260" s="12" t="str">
        <f>IF(J260="","",IF(J260&lt;&gt;"정상","비용 설정 필요",E260*M260))</f>
      </c>
      <c r="O260" s="12" t="str">
        <f>IF(J260="","",IF(J260&lt;&gt;"정상","비용 설정 필요",G260+L260+N260+H260))</f>
      </c>
      <c r="P260" s="13" t="str">
        <f>IF(J260="","",IF(J260&lt;&gt;"정상","비용 설정 필요",F260-O260))</f>
      </c>
      <c r="Q260" s="14" t="str">
        <f>IF(J260="","",IF(J260&lt;&gt;"정상","비용 설정 필요",IFERROR(P260/F260,0)))</f>
      </c>
    </row>
    <row r="261">
      <c r="B261" s="7"/>
      <c r="C261" s="5"/>
      <c r="D261" s="5"/>
      <c r="E261" s="8"/>
      <c r="F261" s="8"/>
      <c r="G261" s="8"/>
      <c r="H261" s="8"/>
      <c r="I261" s="6"/>
      <c r="J261" s="10" t="str">
        <f>IF(AND(B261="",C261="",D261=""),"",IF(OR(B261="",D261=""),"비용 설정 필요",IF(COUNTIFS('3_채널별_비용설정'!$C$6:$C$55,D261,'3_채널별_비용설정'!$D$6:$D$55,"&lt;="&amp;B261,'3_채널별_비용설정'!$L$6:$L$55,"&gt;="&amp;B261)=0,"비용 설정 필요",IF(COUNTIFS('3_채널별_비용설정'!$C$6:$C$55,D261,'3_채널별_비용설정'!$D$6:$D$55,"&lt;="&amp;B261,'3_채널별_비용설정'!$L$6:$L$55,"&gt;="&amp;B261)&gt;1,"기간 중복 확인","정상"))))</f>
      </c>
      <c r="K261" s="15" t="str">
        <f>IF(J261="","",IF(J261&lt;&gt;"정상","비용 설정 필요",SUMIFS('3_채널별_비용설정'!$F$6:$F$55,'3_채널별_비용설정'!$C$6:$C$55,D261,'3_채널별_비용설정'!$D$6:$D$55,"&lt;="&amp;B261,'3_채널별_비용설정'!$L$6:$L$55,"&gt;="&amp;B261)))</f>
      </c>
      <c r="L261" s="12" t="str">
        <f>IF(J261="","",IF(J261&lt;&gt;"정상","비용 설정 필요",ROUND(F261*K261,0)))</f>
      </c>
      <c r="M261" s="12" t="str">
        <f>IF(J261="","",IF(J261&lt;&gt;"정상","비용 설정 필요",SUMIFS('3_채널별_비용설정'!$J$6:$J$55,'3_채널별_비용설정'!$C$6:$C$55,D261,'3_채널별_비용설정'!$D$6:$D$55,"&lt;="&amp;B261,'3_채널별_비용설정'!$L$6:$L$55,"&gt;="&amp;B261)))</f>
      </c>
      <c r="N261" s="12" t="str">
        <f>IF(J261="","",IF(J261&lt;&gt;"정상","비용 설정 필요",E261*M261))</f>
      </c>
      <c r="O261" s="12" t="str">
        <f>IF(J261="","",IF(J261&lt;&gt;"정상","비용 설정 필요",G261+L261+N261+H261))</f>
      </c>
      <c r="P261" s="13" t="str">
        <f>IF(J261="","",IF(J261&lt;&gt;"정상","비용 설정 필요",F261-O261))</f>
      </c>
      <c r="Q261" s="14" t="str">
        <f>IF(J261="","",IF(J261&lt;&gt;"정상","비용 설정 필요",IFERROR(P261/F261,0)))</f>
      </c>
    </row>
    <row r="262">
      <c r="B262" s="7"/>
      <c r="C262" s="5"/>
      <c r="D262" s="5"/>
      <c r="E262" s="8"/>
      <c r="F262" s="8"/>
      <c r="G262" s="8"/>
      <c r="H262" s="8"/>
      <c r="I262" s="6"/>
      <c r="J262" s="10" t="str">
        <f>IF(AND(B262="",C262="",D262=""),"",IF(OR(B262="",D262=""),"비용 설정 필요",IF(COUNTIFS('3_채널별_비용설정'!$C$6:$C$55,D262,'3_채널별_비용설정'!$D$6:$D$55,"&lt;="&amp;B262,'3_채널별_비용설정'!$L$6:$L$55,"&gt;="&amp;B262)=0,"비용 설정 필요",IF(COUNTIFS('3_채널별_비용설정'!$C$6:$C$55,D262,'3_채널별_비용설정'!$D$6:$D$55,"&lt;="&amp;B262,'3_채널별_비용설정'!$L$6:$L$55,"&gt;="&amp;B262)&gt;1,"기간 중복 확인","정상"))))</f>
      </c>
      <c r="K262" s="15" t="str">
        <f>IF(J262="","",IF(J262&lt;&gt;"정상","비용 설정 필요",SUMIFS('3_채널별_비용설정'!$F$6:$F$55,'3_채널별_비용설정'!$C$6:$C$55,D262,'3_채널별_비용설정'!$D$6:$D$55,"&lt;="&amp;B262,'3_채널별_비용설정'!$L$6:$L$55,"&gt;="&amp;B262)))</f>
      </c>
      <c r="L262" s="12" t="str">
        <f>IF(J262="","",IF(J262&lt;&gt;"정상","비용 설정 필요",ROUND(F262*K262,0)))</f>
      </c>
      <c r="M262" s="12" t="str">
        <f>IF(J262="","",IF(J262&lt;&gt;"정상","비용 설정 필요",SUMIFS('3_채널별_비용설정'!$J$6:$J$55,'3_채널별_비용설정'!$C$6:$C$55,D262,'3_채널별_비용설정'!$D$6:$D$55,"&lt;="&amp;B262,'3_채널별_비용설정'!$L$6:$L$55,"&gt;="&amp;B262)))</f>
      </c>
      <c r="N262" s="12" t="str">
        <f>IF(J262="","",IF(J262&lt;&gt;"정상","비용 설정 필요",E262*M262))</f>
      </c>
      <c r="O262" s="12" t="str">
        <f>IF(J262="","",IF(J262&lt;&gt;"정상","비용 설정 필요",G262+L262+N262+H262))</f>
      </c>
      <c r="P262" s="13" t="str">
        <f>IF(J262="","",IF(J262&lt;&gt;"정상","비용 설정 필요",F262-O262))</f>
      </c>
      <c r="Q262" s="14" t="str">
        <f>IF(J262="","",IF(J262&lt;&gt;"정상","비용 설정 필요",IFERROR(P262/F262,0)))</f>
      </c>
    </row>
    <row r="263">
      <c r="B263" s="7"/>
      <c r="C263" s="5"/>
      <c r="D263" s="5"/>
      <c r="E263" s="8"/>
      <c r="F263" s="8"/>
      <c r="G263" s="8"/>
      <c r="H263" s="8"/>
      <c r="I263" s="6"/>
      <c r="J263" s="10" t="str">
        <f>IF(AND(B263="",C263="",D263=""),"",IF(OR(B263="",D263=""),"비용 설정 필요",IF(COUNTIFS('3_채널별_비용설정'!$C$6:$C$55,D263,'3_채널별_비용설정'!$D$6:$D$55,"&lt;="&amp;B263,'3_채널별_비용설정'!$L$6:$L$55,"&gt;="&amp;B263)=0,"비용 설정 필요",IF(COUNTIFS('3_채널별_비용설정'!$C$6:$C$55,D263,'3_채널별_비용설정'!$D$6:$D$55,"&lt;="&amp;B263,'3_채널별_비용설정'!$L$6:$L$55,"&gt;="&amp;B263)&gt;1,"기간 중복 확인","정상"))))</f>
      </c>
      <c r="K263" s="15" t="str">
        <f>IF(J263="","",IF(J263&lt;&gt;"정상","비용 설정 필요",SUMIFS('3_채널별_비용설정'!$F$6:$F$55,'3_채널별_비용설정'!$C$6:$C$55,D263,'3_채널별_비용설정'!$D$6:$D$55,"&lt;="&amp;B263,'3_채널별_비용설정'!$L$6:$L$55,"&gt;="&amp;B263)))</f>
      </c>
      <c r="L263" s="12" t="str">
        <f>IF(J263="","",IF(J263&lt;&gt;"정상","비용 설정 필요",ROUND(F263*K263,0)))</f>
      </c>
      <c r="M263" s="12" t="str">
        <f>IF(J263="","",IF(J263&lt;&gt;"정상","비용 설정 필요",SUMIFS('3_채널별_비용설정'!$J$6:$J$55,'3_채널별_비용설정'!$C$6:$C$55,D263,'3_채널별_비용설정'!$D$6:$D$55,"&lt;="&amp;B263,'3_채널별_비용설정'!$L$6:$L$55,"&gt;="&amp;B263)))</f>
      </c>
      <c r="N263" s="12" t="str">
        <f>IF(J263="","",IF(J263&lt;&gt;"정상","비용 설정 필요",E263*M263))</f>
      </c>
      <c r="O263" s="12" t="str">
        <f>IF(J263="","",IF(J263&lt;&gt;"정상","비용 설정 필요",G263+L263+N263+H263))</f>
      </c>
      <c r="P263" s="13" t="str">
        <f>IF(J263="","",IF(J263&lt;&gt;"정상","비용 설정 필요",F263-O263))</f>
      </c>
      <c r="Q263" s="14" t="str">
        <f>IF(J263="","",IF(J263&lt;&gt;"정상","비용 설정 필요",IFERROR(P263/F263,0)))</f>
      </c>
    </row>
    <row r="264">
      <c r="B264" s="7"/>
      <c r="C264" s="5"/>
      <c r="D264" s="5"/>
      <c r="E264" s="8"/>
      <c r="F264" s="8"/>
      <c r="G264" s="8"/>
      <c r="H264" s="8"/>
      <c r="I264" s="6"/>
      <c r="J264" s="10" t="str">
        <f>IF(AND(B264="",C264="",D264=""),"",IF(OR(B264="",D264=""),"비용 설정 필요",IF(COUNTIFS('3_채널별_비용설정'!$C$6:$C$55,D264,'3_채널별_비용설정'!$D$6:$D$55,"&lt;="&amp;B264,'3_채널별_비용설정'!$L$6:$L$55,"&gt;="&amp;B264)=0,"비용 설정 필요",IF(COUNTIFS('3_채널별_비용설정'!$C$6:$C$55,D264,'3_채널별_비용설정'!$D$6:$D$55,"&lt;="&amp;B264,'3_채널별_비용설정'!$L$6:$L$55,"&gt;="&amp;B264)&gt;1,"기간 중복 확인","정상"))))</f>
      </c>
      <c r="K264" s="15" t="str">
        <f>IF(J264="","",IF(J264&lt;&gt;"정상","비용 설정 필요",SUMIFS('3_채널별_비용설정'!$F$6:$F$55,'3_채널별_비용설정'!$C$6:$C$55,D264,'3_채널별_비용설정'!$D$6:$D$55,"&lt;="&amp;B264,'3_채널별_비용설정'!$L$6:$L$55,"&gt;="&amp;B264)))</f>
      </c>
      <c r="L264" s="12" t="str">
        <f>IF(J264="","",IF(J264&lt;&gt;"정상","비용 설정 필요",ROUND(F264*K264,0)))</f>
      </c>
      <c r="M264" s="12" t="str">
        <f>IF(J264="","",IF(J264&lt;&gt;"정상","비용 설정 필요",SUMIFS('3_채널별_비용설정'!$J$6:$J$55,'3_채널별_비용설정'!$C$6:$C$55,D264,'3_채널별_비용설정'!$D$6:$D$55,"&lt;="&amp;B264,'3_채널별_비용설정'!$L$6:$L$55,"&gt;="&amp;B264)))</f>
      </c>
      <c r="N264" s="12" t="str">
        <f>IF(J264="","",IF(J264&lt;&gt;"정상","비용 설정 필요",E264*M264))</f>
      </c>
      <c r="O264" s="12" t="str">
        <f>IF(J264="","",IF(J264&lt;&gt;"정상","비용 설정 필요",G264+L264+N264+H264))</f>
      </c>
      <c r="P264" s="13" t="str">
        <f>IF(J264="","",IF(J264&lt;&gt;"정상","비용 설정 필요",F264-O264))</f>
      </c>
      <c r="Q264" s="14" t="str">
        <f>IF(J264="","",IF(J264&lt;&gt;"정상","비용 설정 필요",IFERROR(P264/F264,0)))</f>
      </c>
    </row>
    <row r="265">
      <c r="B265" s="7"/>
      <c r="C265" s="5"/>
      <c r="D265" s="5"/>
      <c r="E265" s="8"/>
      <c r="F265" s="8"/>
      <c r="G265" s="8"/>
      <c r="H265" s="8"/>
      <c r="I265" s="6"/>
      <c r="J265" s="10" t="str">
        <f>IF(AND(B265="",C265="",D265=""),"",IF(OR(B265="",D265=""),"비용 설정 필요",IF(COUNTIFS('3_채널별_비용설정'!$C$6:$C$55,D265,'3_채널별_비용설정'!$D$6:$D$55,"&lt;="&amp;B265,'3_채널별_비용설정'!$L$6:$L$55,"&gt;="&amp;B265)=0,"비용 설정 필요",IF(COUNTIFS('3_채널별_비용설정'!$C$6:$C$55,D265,'3_채널별_비용설정'!$D$6:$D$55,"&lt;="&amp;B265,'3_채널별_비용설정'!$L$6:$L$55,"&gt;="&amp;B265)&gt;1,"기간 중복 확인","정상"))))</f>
      </c>
      <c r="K265" s="15" t="str">
        <f>IF(J265="","",IF(J265&lt;&gt;"정상","비용 설정 필요",SUMIFS('3_채널별_비용설정'!$F$6:$F$55,'3_채널별_비용설정'!$C$6:$C$55,D265,'3_채널별_비용설정'!$D$6:$D$55,"&lt;="&amp;B265,'3_채널별_비용설정'!$L$6:$L$55,"&gt;="&amp;B265)))</f>
      </c>
      <c r="L265" s="12" t="str">
        <f>IF(J265="","",IF(J265&lt;&gt;"정상","비용 설정 필요",ROUND(F265*K265,0)))</f>
      </c>
      <c r="M265" s="12" t="str">
        <f>IF(J265="","",IF(J265&lt;&gt;"정상","비용 설정 필요",SUMIFS('3_채널별_비용설정'!$J$6:$J$55,'3_채널별_비용설정'!$C$6:$C$55,D265,'3_채널별_비용설정'!$D$6:$D$55,"&lt;="&amp;B265,'3_채널별_비용설정'!$L$6:$L$55,"&gt;="&amp;B265)))</f>
      </c>
      <c r="N265" s="12" t="str">
        <f>IF(J265="","",IF(J265&lt;&gt;"정상","비용 설정 필요",E265*M265))</f>
      </c>
      <c r="O265" s="12" t="str">
        <f>IF(J265="","",IF(J265&lt;&gt;"정상","비용 설정 필요",G265+L265+N265+H265))</f>
      </c>
      <c r="P265" s="13" t="str">
        <f>IF(J265="","",IF(J265&lt;&gt;"정상","비용 설정 필요",F265-O265))</f>
      </c>
      <c r="Q265" s="14" t="str">
        <f>IF(J265="","",IF(J265&lt;&gt;"정상","비용 설정 필요",IFERROR(P265/F265,0)))</f>
      </c>
    </row>
    <row r="266">
      <c r="B266" s="7"/>
      <c r="C266" s="5"/>
      <c r="D266" s="5"/>
      <c r="E266" s="8"/>
      <c r="F266" s="8"/>
      <c r="G266" s="8"/>
      <c r="H266" s="8"/>
      <c r="I266" s="6"/>
      <c r="J266" s="10" t="str">
        <f>IF(AND(B266="",C266="",D266=""),"",IF(OR(B266="",D266=""),"비용 설정 필요",IF(COUNTIFS('3_채널별_비용설정'!$C$6:$C$55,D266,'3_채널별_비용설정'!$D$6:$D$55,"&lt;="&amp;B266,'3_채널별_비용설정'!$L$6:$L$55,"&gt;="&amp;B266)=0,"비용 설정 필요",IF(COUNTIFS('3_채널별_비용설정'!$C$6:$C$55,D266,'3_채널별_비용설정'!$D$6:$D$55,"&lt;="&amp;B266,'3_채널별_비용설정'!$L$6:$L$55,"&gt;="&amp;B266)&gt;1,"기간 중복 확인","정상"))))</f>
      </c>
      <c r="K266" s="15" t="str">
        <f>IF(J266="","",IF(J266&lt;&gt;"정상","비용 설정 필요",SUMIFS('3_채널별_비용설정'!$F$6:$F$55,'3_채널별_비용설정'!$C$6:$C$55,D266,'3_채널별_비용설정'!$D$6:$D$55,"&lt;="&amp;B266,'3_채널별_비용설정'!$L$6:$L$55,"&gt;="&amp;B266)))</f>
      </c>
      <c r="L266" s="12" t="str">
        <f>IF(J266="","",IF(J266&lt;&gt;"정상","비용 설정 필요",ROUND(F266*K266,0)))</f>
      </c>
      <c r="M266" s="12" t="str">
        <f>IF(J266="","",IF(J266&lt;&gt;"정상","비용 설정 필요",SUMIFS('3_채널별_비용설정'!$J$6:$J$55,'3_채널별_비용설정'!$C$6:$C$55,D266,'3_채널별_비용설정'!$D$6:$D$55,"&lt;="&amp;B266,'3_채널별_비용설정'!$L$6:$L$55,"&gt;="&amp;B266)))</f>
      </c>
      <c r="N266" s="12" t="str">
        <f>IF(J266="","",IF(J266&lt;&gt;"정상","비용 설정 필요",E266*M266))</f>
      </c>
      <c r="O266" s="12" t="str">
        <f>IF(J266="","",IF(J266&lt;&gt;"정상","비용 설정 필요",G266+L266+N266+H266))</f>
      </c>
      <c r="P266" s="13" t="str">
        <f>IF(J266="","",IF(J266&lt;&gt;"정상","비용 설정 필요",F266-O266))</f>
      </c>
      <c r="Q266" s="14" t="str">
        <f>IF(J266="","",IF(J266&lt;&gt;"정상","비용 설정 필요",IFERROR(P266/F266,0)))</f>
      </c>
    </row>
    <row r="267">
      <c r="B267" s="7"/>
      <c r="C267" s="5"/>
      <c r="D267" s="5"/>
      <c r="E267" s="8"/>
      <c r="F267" s="8"/>
      <c r="G267" s="8"/>
      <c r="H267" s="8"/>
      <c r="I267" s="6"/>
      <c r="J267" s="10" t="str">
        <f>IF(AND(B267="",C267="",D267=""),"",IF(OR(B267="",D267=""),"비용 설정 필요",IF(COUNTIFS('3_채널별_비용설정'!$C$6:$C$55,D267,'3_채널별_비용설정'!$D$6:$D$55,"&lt;="&amp;B267,'3_채널별_비용설정'!$L$6:$L$55,"&gt;="&amp;B267)=0,"비용 설정 필요",IF(COUNTIFS('3_채널별_비용설정'!$C$6:$C$55,D267,'3_채널별_비용설정'!$D$6:$D$55,"&lt;="&amp;B267,'3_채널별_비용설정'!$L$6:$L$55,"&gt;="&amp;B267)&gt;1,"기간 중복 확인","정상"))))</f>
      </c>
      <c r="K267" s="15" t="str">
        <f>IF(J267="","",IF(J267&lt;&gt;"정상","비용 설정 필요",SUMIFS('3_채널별_비용설정'!$F$6:$F$55,'3_채널별_비용설정'!$C$6:$C$55,D267,'3_채널별_비용설정'!$D$6:$D$55,"&lt;="&amp;B267,'3_채널별_비용설정'!$L$6:$L$55,"&gt;="&amp;B267)))</f>
      </c>
      <c r="L267" s="12" t="str">
        <f>IF(J267="","",IF(J267&lt;&gt;"정상","비용 설정 필요",ROUND(F267*K267,0)))</f>
      </c>
      <c r="M267" s="12" t="str">
        <f>IF(J267="","",IF(J267&lt;&gt;"정상","비용 설정 필요",SUMIFS('3_채널별_비용설정'!$J$6:$J$55,'3_채널별_비용설정'!$C$6:$C$55,D267,'3_채널별_비용설정'!$D$6:$D$55,"&lt;="&amp;B267,'3_채널별_비용설정'!$L$6:$L$55,"&gt;="&amp;B267)))</f>
      </c>
      <c r="N267" s="12" t="str">
        <f>IF(J267="","",IF(J267&lt;&gt;"정상","비용 설정 필요",E267*M267))</f>
      </c>
      <c r="O267" s="12" t="str">
        <f>IF(J267="","",IF(J267&lt;&gt;"정상","비용 설정 필요",G267+L267+N267+H267))</f>
      </c>
      <c r="P267" s="13" t="str">
        <f>IF(J267="","",IF(J267&lt;&gt;"정상","비용 설정 필요",F267-O267))</f>
      </c>
      <c r="Q267" s="14" t="str">
        <f>IF(J267="","",IF(J267&lt;&gt;"정상","비용 설정 필요",IFERROR(P267/F267,0)))</f>
      </c>
    </row>
    <row r="268">
      <c r="B268" s="7"/>
      <c r="C268" s="5"/>
      <c r="D268" s="5"/>
      <c r="E268" s="8"/>
      <c r="F268" s="8"/>
      <c r="G268" s="8"/>
      <c r="H268" s="8"/>
      <c r="I268" s="6"/>
      <c r="J268" s="10" t="str">
        <f>IF(AND(B268="",C268="",D268=""),"",IF(OR(B268="",D268=""),"비용 설정 필요",IF(COUNTIFS('3_채널별_비용설정'!$C$6:$C$55,D268,'3_채널별_비용설정'!$D$6:$D$55,"&lt;="&amp;B268,'3_채널별_비용설정'!$L$6:$L$55,"&gt;="&amp;B268)=0,"비용 설정 필요",IF(COUNTIFS('3_채널별_비용설정'!$C$6:$C$55,D268,'3_채널별_비용설정'!$D$6:$D$55,"&lt;="&amp;B268,'3_채널별_비용설정'!$L$6:$L$55,"&gt;="&amp;B268)&gt;1,"기간 중복 확인","정상"))))</f>
      </c>
      <c r="K268" s="15" t="str">
        <f>IF(J268="","",IF(J268&lt;&gt;"정상","비용 설정 필요",SUMIFS('3_채널별_비용설정'!$F$6:$F$55,'3_채널별_비용설정'!$C$6:$C$55,D268,'3_채널별_비용설정'!$D$6:$D$55,"&lt;="&amp;B268,'3_채널별_비용설정'!$L$6:$L$55,"&gt;="&amp;B268)))</f>
      </c>
      <c r="L268" s="12" t="str">
        <f>IF(J268="","",IF(J268&lt;&gt;"정상","비용 설정 필요",ROUND(F268*K268,0)))</f>
      </c>
      <c r="M268" s="12" t="str">
        <f>IF(J268="","",IF(J268&lt;&gt;"정상","비용 설정 필요",SUMIFS('3_채널별_비용설정'!$J$6:$J$55,'3_채널별_비용설정'!$C$6:$C$55,D268,'3_채널별_비용설정'!$D$6:$D$55,"&lt;="&amp;B268,'3_채널별_비용설정'!$L$6:$L$55,"&gt;="&amp;B268)))</f>
      </c>
      <c r="N268" s="12" t="str">
        <f>IF(J268="","",IF(J268&lt;&gt;"정상","비용 설정 필요",E268*M268))</f>
      </c>
      <c r="O268" s="12" t="str">
        <f>IF(J268="","",IF(J268&lt;&gt;"정상","비용 설정 필요",G268+L268+N268+H268))</f>
      </c>
      <c r="P268" s="13" t="str">
        <f>IF(J268="","",IF(J268&lt;&gt;"정상","비용 설정 필요",F268-O268))</f>
      </c>
      <c r="Q268" s="14" t="str">
        <f>IF(J268="","",IF(J268&lt;&gt;"정상","비용 설정 필요",IFERROR(P268/F268,0)))</f>
      </c>
    </row>
    <row r="269">
      <c r="B269" s="7"/>
      <c r="C269" s="5"/>
      <c r="D269" s="5"/>
      <c r="E269" s="8"/>
      <c r="F269" s="8"/>
      <c r="G269" s="8"/>
      <c r="H269" s="8"/>
      <c r="I269" s="6"/>
      <c r="J269" s="10" t="str">
        <f>IF(AND(B269="",C269="",D269=""),"",IF(OR(B269="",D269=""),"비용 설정 필요",IF(COUNTIFS('3_채널별_비용설정'!$C$6:$C$55,D269,'3_채널별_비용설정'!$D$6:$D$55,"&lt;="&amp;B269,'3_채널별_비용설정'!$L$6:$L$55,"&gt;="&amp;B269)=0,"비용 설정 필요",IF(COUNTIFS('3_채널별_비용설정'!$C$6:$C$55,D269,'3_채널별_비용설정'!$D$6:$D$55,"&lt;="&amp;B269,'3_채널별_비용설정'!$L$6:$L$55,"&gt;="&amp;B269)&gt;1,"기간 중복 확인","정상"))))</f>
      </c>
      <c r="K269" s="15" t="str">
        <f>IF(J269="","",IF(J269&lt;&gt;"정상","비용 설정 필요",SUMIFS('3_채널별_비용설정'!$F$6:$F$55,'3_채널별_비용설정'!$C$6:$C$55,D269,'3_채널별_비용설정'!$D$6:$D$55,"&lt;="&amp;B269,'3_채널별_비용설정'!$L$6:$L$55,"&gt;="&amp;B269)))</f>
      </c>
      <c r="L269" s="12" t="str">
        <f>IF(J269="","",IF(J269&lt;&gt;"정상","비용 설정 필요",ROUND(F269*K269,0)))</f>
      </c>
      <c r="M269" s="12" t="str">
        <f>IF(J269="","",IF(J269&lt;&gt;"정상","비용 설정 필요",SUMIFS('3_채널별_비용설정'!$J$6:$J$55,'3_채널별_비용설정'!$C$6:$C$55,D269,'3_채널별_비용설정'!$D$6:$D$55,"&lt;="&amp;B269,'3_채널별_비용설정'!$L$6:$L$55,"&gt;="&amp;B269)))</f>
      </c>
      <c r="N269" s="12" t="str">
        <f>IF(J269="","",IF(J269&lt;&gt;"정상","비용 설정 필요",E269*M269))</f>
      </c>
      <c r="O269" s="12" t="str">
        <f>IF(J269="","",IF(J269&lt;&gt;"정상","비용 설정 필요",G269+L269+N269+H269))</f>
      </c>
      <c r="P269" s="13" t="str">
        <f>IF(J269="","",IF(J269&lt;&gt;"정상","비용 설정 필요",F269-O269))</f>
      </c>
      <c r="Q269" s="14" t="str">
        <f>IF(J269="","",IF(J269&lt;&gt;"정상","비용 설정 필요",IFERROR(P269/F269,0)))</f>
      </c>
    </row>
    <row r="270">
      <c r="B270" s="7"/>
      <c r="C270" s="5"/>
      <c r="D270" s="5"/>
      <c r="E270" s="8"/>
      <c r="F270" s="8"/>
      <c r="G270" s="8"/>
      <c r="H270" s="8"/>
      <c r="I270" s="6"/>
      <c r="J270" s="10" t="str">
        <f>IF(AND(B270="",C270="",D270=""),"",IF(OR(B270="",D270=""),"비용 설정 필요",IF(COUNTIFS('3_채널별_비용설정'!$C$6:$C$55,D270,'3_채널별_비용설정'!$D$6:$D$55,"&lt;="&amp;B270,'3_채널별_비용설정'!$L$6:$L$55,"&gt;="&amp;B270)=0,"비용 설정 필요",IF(COUNTIFS('3_채널별_비용설정'!$C$6:$C$55,D270,'3_채널별_비용설정'!$D$6:$D$55,"&lt;="&amp;B270,'3_채널별_비용설정'!$L$6:$L$55,"&gt;="&amp;B270)&gt;1,"기간 중복 확인","정상"))))</f>
      </c>
      <c r="K270" s="15" t="str">
        <f>IF(J270="","",IF(J270&lt;&gt;"정상","비용 설정 필요",SUMIFS('3_채널별_비용설정'!$F$6:$F$55,'3_채널별_비용설정'!$C$6:$C$55,D270,'3_채널별_비용설정'!$D$6:$D$55,"&lt;="&amp;B270,'3_채널별_비용설정'!$L$6:$L$55,"&gt;="&amp;B270)))</f>
      </c>
      <c r="L270" s="12" t="str">
        <f>IF(J270="","",IF(J270&lt;&gt;"정상","비용 설정 필요",ROUND(F270*K270,0)))</f>
      </c>
      <c r="M270" s="12" t="str">
        <f>IF(J270="","",IF(J270&lt;&gt;"정상","비용 설정 필요",SUMIFS('3_채널별_비용설정'!$J$6:$J$55,'3_채널별_비용설정'!$C$6:$C$55,D270,'3_채널별_비용설정'!$D$6:$D$55,"&lt;="&amp;B270,'3_채널별_비용설정'!$L$6:$L$55,"&gt;="&amp;B270)))</f>
      </c>
      <c r="N270" s="12" t="str">
        <f>IF(J270="","",IF(J270&lt;&gt;"정상","비용 설정 필요",E270*M270))</f>
      </c>
      <c r="O270" s="12" t="str">
        <f>IF(J270="","",IF(J270&lt;&gt;"정상","비용 설정 필요",G270+L270+N270+H270))</f>
      </c>
      <c r="P270" s="13" t="str">
        <f>IF(J270="","",IF(J270&lt;&gt;"정상","비용 설정 필요",F270-O270))</f>
      </c>
      <c r="Q270" s="14" t="str">
        <f>IF(J270="","",IF(J270&lt;&gt;"정상","비용 설정 필요",IFERROR(P270/F270,0)))</f>
      </c>
    </row>
    <row r="271">
      <c r="B271" s="7"/>
      <c r="C271" s="5"/>
      <c r="D271" s="5"/>
      <c r="E271" s="8"/>
      <c r="F271" s="8"/>
      <c r="G271" s="8"/>
      <c r="H271" s="8"/>
      <c r="I271" s="6"/>
      <c r="J271" s="10" t="str">
        <f>IF(AND(B271="",C271="",D271=""),"",IF(OR(B271="",D271=""),"비용 설정 필요",IF(COUNTIFS('3_채널별_비용설정'!$C$6:$C$55,D271,'3_채널별_비용설정'!$D$6:$D$55,"&lt;="&amp;B271,'3_채널별_비용설정'!$L$6:$L$55,"&gt;="&amp;B271)=0,"비용 설정 필요",IF(COUNTIFS('3_채널별_비용설정'!$C$6:$C$55,D271,'3_채널별_비용설정'!$D$6:$D$55,"&lt;="&amp;B271,'3_채널별_비용설정'!$L$6:$L$55,"&gt;="&amp;B271)&gt;1,"기간 중복 확인","정상"))))</f>
      </c>
      <c r="K271" s="15" t="str">
        <f>IF(J271="","",IF(J271&lt;&gt;"정상","비용 설정 필요",SUMIFS('3_채널별_비용설정'!$F$6:$F$55,'3_채널별_비용설정'!$C$6:$C$55,D271,'3_채널별_비용설정'!$D$6:$D$55,"&lt;="&amp;B271,'3_채널별_비용설정'!$L$6:$L$55,"&gt;="&amp;B271)))</f>
      </c>
      <c r="L271" s="12" t="str">
        <f>IF(J271="","",IF(J271&lt;&gt;"정상","비용 설정 필요",ROUND(F271*K271,0)))</f>
      </c>
      <c r="M271" s="12" t="str">
        <f>IF(J271="","",IF(J271&lt;&gt;"정상","비용 설정 필요",SUMIFS('3_채널별_비용설정'!$J$6:$J$55,'3_채널별_비용설정'!$C$6:$C$55,D271,'3_채널별_비용설정'!$D$6:$D$55,"&lt;="&amp;B271,'3_채널별_비용설정'!$L$6:$L$55,"&gt;="&amp;B271)))</f>
      </c>
      <c r="N271" s="12" t="str">
        <f>IF(J271="","",IF(J271&lt;&gt;"정상","비용 설정 필요",E271*M271))</f>
      </c>
      <c r="O271" s="12" t="str">
        <f>IF(J271="","",IF(J271&lt;&gt;"정상","비용 설정 필요",G271+L271+N271+H271))</f>
      </c>
      <c r="P271" s="13" t="str">
        <f>IF(J271="","",IF(J271&lt;&gt;"정상","비용 설정 필요",F271-O271))</f>
      </c>
      <c r="Q271" s="14" t="str">
        <f>IF(J271="","",IF(J271&lt;&gt;"정상","비용 설정 필요",IFERROR(P271/F271,0)))</f>
      </c>
    </row>
    <row r="272">
      <c r="B272" s="7"/>
      <c r="C272" s="5"/>
      <c r="D272" s="5"/>
      <c r="E272" s="8"/>
      <c r="F272" s="8"/>
      <c r="G272" s="8"/>
      <c r="H272" s="8"/>
      <c r="I272" s="6"/>
      <c r="J272" s="10" t="str">
        <f>IF(AND(B272="",C272="",D272=""),"",IF(OR(B272="",D272=""),"비용 설정 필요",IF(COUNTIFS('3_채널별_비용설정'!$C$6:$C$55,D272,'3_채널별_비용설정'!$D$6:$D$55,"&lt;="&amp;B272,'3_채널별_비용설정'!$L$6:$L$55,"&gt;="&amp;B272)=0,"비용 설정 필요",IF(COUNTIFS('3_채널별_비용설정'!$C$6:$C$55,D272,'3_채널별_비용설정'!$D$6:$D$55,"&lt;="&amp;B272,'3_채널별_비용설정'!$L$6:$L$55,"&gt;="&amp;B272)&gt;1,"기간 중복 확인","정상"))))</f>
      </c>
      <c r="K272" s="15" t="str">
        <f>IF(J272="","",IF(J272&lt;&gt;"정상","비용 설정 필요",SUMIFS('3_채널별_비용설정'!$F$6:$F$55,'3_채널별_비용설정'!$C$6:$C$55,D272,'3_채널별_비용설정'!$D$6:$D$55,"&lt;="&amp;B272,'3_채널별_비용설정'!$L$6:$L$55,"&gt;="&amp;B272)))</f>
      </c>
      <c r="L272" s="12" t="str">
        <f>IF(J272="","",IF(J272&lt;&gt;"정상","비용 설정 필요",ROUND(F272*K272,0)))</f>
      </c>
      <c r="M272" s="12" t="str">
        <f>IF(J272="","",IF(J272&lt;&gt;"정상","비용 설정 필요",SUMIFS('3_채널별_비용설정'!$J$6:$J$55,'3_채널별_비용설정'!$C$6:$C$55,D272,'3_채널별_비용설정'!$D$6:$D$55,"&lt;="&amp;B272,'3_채널별_비용설정'!$L$6:$L$55,"&gt;="&amp;B272)))</f>
      </c>
      <c r="N272" s="12" t="str">
        <f>IF(J272="","",IF(J272&lt;&gt;"정상","비용 설정 필요",E272*M272))</f>
      </c>
      <c r="O272" s="12" t="str">
        <f>IF(J272="","",IF(J272&lt;&gt;"정상","비용 설정 필요",G272+L272+N272+H272))</f>
      </c>
      <c r="P272" s="13" t="str">
        <f>IF(J272="","",IF(J272&lt;&gt;"정상","비용 설정 필요",F272-O272))</f>
      </c>
      <c r="Q272" s="14" t="str">
        <f>IF(J272="","",IF(J272&lt;&gt;"정상","비용 설정 필요",IFERROR(P272/F272,0)))</f>
      </c>
    </row>
    <row r="273">
      <c r="B273" s="7"/>
      <c r="C273" s="5"/>
      <c r="D273" s="5"/>
      <c r="E273" s="8"/>
      <c r="F273" s="8"/>
      <c r="G273" s="8"/>
      <c r="H273" s="8"/>
      <c r="I273" s="6"/>
      <c r="J273" s="10" t="str">
        <f>IF(AND(B273="",C273="",D273=""),"",IF(OR(B273="",D273=""),"비용 설정 필요",IF(COUNTIFS('3_채널별_비용설정'!$C$6:$C$55,D273,'3_채널별_비용설정'!$D$6:$D$55,"&lt;="&amp;B273,'3_채널별_비용설정'!$L$6:$L$55,"&gt;="&amp;B273)=0,"비용 설정 필요",IF(COUNTIFS('3_채널별_비용설정'!$C$6:$C$55,D273,'3_채널별_비용설정'!$D$6:$D$55,"&lt;="&amp;B273,'3_채널별_비용설정'!$L$6:$L$55,"&gt;="&amp;B273)&gt;1,"기간 중복 확인","정상"))))</f>
      </c>
      <c r="K273" s="15" t="str">
        <f>IF(J273="","",IF(J273&lt;&gt;"정상","비용 설정 필요",SUMIFS('3_채널별_비용설정'!$F$6:$F$55,'3_채널별_비용설정'!$C$6:$C$55,D273,'3_채널별_비용설정'!$D$6:$D$55,"&lt;="&amp;B273,'3_채널별_비용설정'!$L$6:$L$55,"&gt;="&amp;B273)))</f>
      </c>
      <c r="L273" s="12" t="str">
        <f>IF(J273="","",IF(J273&lt;&gt;"정상","비용 설정 필요",ROUND(F273*K273,0)))</f>
      </c>
      <c r="M273" s="12" t="str">
        <f>IF(J273="","",IF(J273&lt;&gt;"정상","비용 설정 필요",SUMIFS('3_채널별_비용설정'!$J$6:$J$55,'3_채널별_비용설정'!$C$6:$C$55,D273,'3_채널별_비용설정'!$D$6:$D$55,"&lt;="&amp;B273,'3_채널별_비용설정'!$L$6:$L$55,"&gt;="&amp;B273)))</f>
      </c>
      <c r="N273" s="12" t="str">
        <f>IF(J273="","",IF(J273&lt;&gt;"정상","비용 설정 필요",E273*M273))</f>
      </c>
      <c r="O273" s="12" t="str">
        <f>IF(J273="","",IF(J273&lt;&gt;"정상","비용 설정 필요",G273+L273+N273+H273))</f>
      </c>
      <c r="P273" s="13" t="str">
        <f>IF(J273="","",IF(J273&lt;&gt;"정상","비용 설정 필요",F273-O273))</f>
      </c>
      <c r="Q273" s="14" t="str">
        <f>IF(J273="","",IF(J273&lt;&gt;"정상","비용 설정 필요",IFERROR(P273/F273,0)))</f>
      </c>
    </row>
    <row r="274">
      <c r="B274" s="7"/>
      <c r="C274" s="5"/>
      <c r="D274" s="5"/>
      <c r="E274" s="8"/>
      <c r="F274" s="8"/>
      <c r="G274" s="8"/>
      <c r="H274" s="8"/>
      <c r="I274" s="6"/>
      <c r="J274" s="10" t="str">
        <f>IF(AND(B274="",C274="",D274=""),"",IF(OR(B274="",D274=""),"비용 설정 필요",IF(COUNTIFS('3_채널별_비용설정'!$C$6:$C$55,D274,'3_채널별_비용설정'!$D$6:$D$55,"&lt;="&amp;B274,'3_채널별_비용설정'!$L$6:$L$55,"&gt;="&amp;B274)=0,"비용 설정 필요",IF(COUNTIFS('3_채널별_비용설정'!$C$6:$C$55,D274,'3_채널별_비용설정'!$D$6:$D$55,"&lt;="&amp;B274,'3_채널별_비용설정'!$L$6:$L$55,"&gt;="&amp;B274)&gt;1,"기간 중복 확인","정상"))))</f>
      </c>
      <c r="K274" s="15" t="str">
        <f>IF(J274="","",IF(J274&lt;&gt;"정상","비용 설정 필요",SUMIFS('3_채널별_비용설정'!$F$6:$F$55,'3_채널별_비용설정'!$C$6:$C$55,D274,'3_채널별_비용설정'!$D$6:$D$55,"&lt;="&amp;B274,'3_채널별_비용설정'!$L$6:$L$55,"&gt;="&amp;B274)))</f>
      </c>
      <c r="L274" s="12" t="str">
        <f>IF(J274="","",IF(J274&lt;&gt;"정상","비용 설정 필요",ROUND(F274*K274,0)))</f>
      </c>
      <c r="M274" s="12" t="str">
        <f>IF(J274="","",IF(J274&lt;&gt;"정상","비용 설정 필요",SUMIFS('3_채널별_비용설정'!$J$6:$J$55,'3_채널별_비용설정'!$C$6:$C$55,D274,'3_채널별_비용설정'!$D$6:$D$55,"&lt;="&amp;B274,'3_채널별_비용설정'!$L$6:$L$55,"&gt;="&amp;B274)))</f>
      </c>
      <c r="N274" s="12" t="str">
        <f>IF(J274="","",IF(J274&lt;&gt;"정상","비용 설정 필요",E274*M274))</f>
      </c>
      <c r="O274" s="12" t="str">
        <f>IF(J274="","",IF(J274&lt;&gt;"정상","비용 설정 필요",G274+L274+N274+H274))</f>
      </c>
      <c r="P274" s="13" t="str">
        <f>IF(J274="","",IF(J274&lt;&gt;"정상","비용 설정 필요",F274-O274))</f>
      </c>
      <c r="Q274" s="14" t="str">
        <f>IF(J274="","",IF(J274&lt;&gt;"정상","비용 설정 필요",IFERROR(P274/F274,0)))</f>
      </c>
    </row>
    <row r="275">
      <c r="B275" s="7"/>
      <c r="C275" s="5"/>
      <c r="D275" s="5"/>
      <c r="E275" s="8"/>
      <c r="F275" s="8"/>
      <c r="G275" s="8"/>
      <c r="H275" s="8"/>
      <c r="I275" s="6"/>
      <c r="J275" s="10" t="str">
        <f>IF(AND(B275="",C275="",D275=""),"",IF(OR(B275="",D275=""),"비용 설정 필요",IF(COUNTIFS('3_채널별_비용설정'!$C$6:$C$55,D275,'3_채널별_비용설정'!$D$6:$D$55,"&lt;="&amp;B275,'3_채널별_비용설정'!$L$6:$L$55,"&gt;="&amp;B275)=0,"비용 설정 필요",IF(COUNTIFS('3_채널별_비용설정'!$C$6:$C$55,D275,'3_채널별_비용설정'!$D$6:$D$55,"&lt;="&amp;B275,'3_채널별_비용설정'!$L$6:$L$55,"&gt;="&amp;B275)&gt;1,"기간 중복 확인","정상"))))</f>
      </c>
      <c r="K275" s="15" t="str">
        <f>IF(J275="","",IF(J275&lt;&gt;"정상","비용 설정 필요",SUMIFS('3_채널별_비용설정'!$F$6:$F$55,'3_채널별_비용설정'!$C$6:$C$55,D275,'3_채널별_비용설정'!$D$6:$D$55,"&lt;="&amp;B275,'3_채널별_비용설정'!$L$6:$L$55,"&gt;="&amp;B275)))</f>
      </c>
      <c r="L275" s="12" t="str">
        <f>IF(J275="","",IF(J275&lt;&gt;"정상","비용 설정 필요",ROUND(F275*K275,0)))</f>
      </c>
      <c r="M275" s="12" t="str">
        <f>IF(J275="","",IF(J275&lt;&gt;"정상","비용 설정 필요",SUMIFS('3_채널별_비용설정'!$J$6:$J$55,'3_채널별_비용설정'!$C$6:$C$55,D275,'3_채널별_비용설정'!$D$6:$D$55,"&lt;="&amp;B275,'3_채널별_비용설정'!$L$6:$L$55,"&gt;="&amp;B275)))</f>
      </c>
      <c r="N275" s="12" t="str">
        <f>IF(J275="","",IF(J275&lt;&gt;"정상","비용 설정 필요",E275*M275))</f>
      </c>
      <c r="O275" s="12" t="str">
        <f>IF(J275="","",IF(J275&lt;&gt;"정상","비용 설정 필요",G275+L275+N275+H275))</f>
      </c>
      <c r="P275" s="13" t="str">
        <f>IF(J275="","",IF(J275&lt;&gt;"정상","비용 설정 필요",F275-O275))</f>
      </c>
      <c r="Q275" s="14" t="str">
        <f>IF(J275="","",IF(J275&lt;&gt;"정상","비용 설정 필요",IFERROR(P275/F275,0)))</f>
      </c>
    </row>
    <row r="276">
      <c r="B276" s="7"/>
      <c r="C276" s="5"/>
      <c r="D276" s="5"/>
      <c r="E276" s="8"/>
      <c r="F276" s="8"/>
      <c r="G276" s="8"/>
      <c r="H276" s="8"/>
      <c r="I276" s="6"/>
      <c r="J276" s="10" t="str">
        <f>IF(AND(B276="",C276="",D276=""),"",IF(OR(B276="",D276=""),"비용 설정 필요",IF(COUNTIFS('3_채널별_비용설정'!$C$6:$C$55,D276,'3_채널별_비용설정'!$D$6:$D$55,"&lt;="&amp;B276,'3_채널별_비용설정'!$L$6:$L$55,"&gt;="&amp;B276)=0,"비용 설정 필요",IF(COUNTIFS('3_채널별_비용설정'!$C$6:$C$55,D276,'3_채널별_비용설정'!$D$6:$D$55,"&lt;="&amp;B276,'3_채널별_비용설정'!$L$6:$L$55,"&gt;="&amp;B276)&gt;1,"기간 중복 확인","정상"))))</f>
      </c>
      <c r="K276" s="15" t="str">
        <f>IF(J276="","",IF(J276&lt;&gt;"정상","비용 설정 필요",SUMIFS('3_채널별_비용설정'!$F$6:$F$55,'3_채널별_비용설정'!$C$6:$C$55,D276,'3_채널별_비용설정'!$D$6:$D$55,"&lt;="&amp;B276,'3_채널별_비용설정'!$L$6:$L$55,"&gt;="&amp;B276)))</f>
      </c>
      <c r="L276" s="12" t="str">
        <f>IF(J276="","",IF(J276&lt;&gt;"정상","비용 설정 필요",ROUND(F276*K276,0)))</f>
      </c>
      <c r="M276" s="12" t="str">
        <f>IF(J276="","",IF(J276&lt;&gt;"정상","비용 설정 필요",SUMIFS('3_채널별_비용설정'!$J$6:$J$55,'3_채널별_비용설정'!$C$6:$C$55,D276,'3_채널별_비용설정'!$D$6:$D$55,"&lt;="&amp;B276,'3_채널별_비용설정'!$L$6:$L$55,"&gt;="&amp;B276)))</f>
      </c>
      <c r="N276" s="12" t="str">
        <f>IF(J276="","",IF(J276&lt;&gt;"정상","비용 설정 필요",E276*M276))</f>
      </c>
      <c r="O276" s="12" t="str">
        <f>IF(J276="","",IF(J276&lt;&gt;"정상","비용 설정 필요",G276+L276+N276+H276))</f>
      </c>
      <c r="P276" s="13" t="str">
        <f>IF(J276="","",IF(J276&lt;&gt;"정상","비용 설정 필요",F276-O276))</f>
      </c>
      <c r="Q276" s="14" t="str">
        <f>IF(J276="","",IF(J276&lt;&gt;"정상","비용 설정 필요",IFERROR(P276/F276,0)))</f>
      </c>
    </row>
    <row r="277">
      <c r="B277" s="7"/>
      <c r="C277" s="5"/>
      <c r="D277" s="5"/>
      <c r="E277" s="8"/>
      <c r="F277" s="8"/>
      <c r="G277" s="8"/>
      <c r="H277" s="8"/>
      <c r="I277" s="6"/>
      <c r="J277" s="10" t="str">
        <f>IF(AND(B277="",C277="",D277=""),"",IF(OR(B277="",D277=""),"비용 설정 필요",IF(COUNTIFS('3_채널별_비용설정'!$C$6:$C$55,D277,'3_채널별_비용설정'!$D$6:$D$55,"&lt;="&amp;B277,'3_채널별_비용설정'!$L$6:$L$55,"&gt;="&amp;B277)=0,"비용 설정 필요",IF(COUNTIFS('3_채널별_비용설정'!$C$6:$C$55,D277,'3_채널별_비용설정'!$D$6:$D$55,"&lt;="&amp;B277,'3_채널별_비용설정'!$L$6:$L$55,"&gt;="&amp;B277)&gt;1,"기간 중복 확인","정상"))))</f>
      </c>
      <c r="K277" s="15" t="str">
        <f>IF(J277="","",IF(J277&lt;&gt;"정상","비용 설정 필요",SUMIFS('3_채널별_비용설정'!$F$6:$F$55,'3_채널별_비용설정'!$C$6:$C$55,D277,'3_채널별_비용설정'!$D$6:$D$55,"&lt;="&amp;B277,'3_채널별_비용설정'!$L$6:$L$55,"&gt;="&amp;B277)))</f>
      </c>
      <c r="L277" s="12" t="str">
        <f>IF(J277="","",IF(J277&lt;&gt;"정상","비용 설정 필요",ROUND(F277*K277,0)))</f>
      </c>
      <c r="M277" s="12" t="str">
        <f>IF(J277="","",IF(J277&lt;&gt;"정상","비용 설정 필요",SUMIFS('3_채널별_비용설정'!$J$6:$J$55,'3_채널별_비용설정'!$C$6:$C$55,D277,'3_채널별_비용설정'!$D$6:$D$55,"&lt;="&amp;B277,'3_채널별_비용설정'!$L$6:$L$55,"&gt;="&amp;B277)))</f>
      </c>
      <c r="N277" s="12" t="str">
        <f>IF(J277="","",IF(J277&lt;&gt;"정상","비용 설정 필요",E277*M277))</f>
      </c>
      <c r="O277" s="12" t="str">
        <f>IF(J277="","",IF(J277&lt;&gt;"정상","비용 설정 필요",G277+L277+N277+H277))</f>
      </c>
      <c r="P277" s="13" t="str">
        <f>IF(J277="","",IF(J277&lt;&gt;"정상","비용 설정 필요",F277-O277))</f>
      </c>
      <c r="Q277" s="14" t="str">
        <f>IF(J277="","",IF(J277&lt;&gt;"정상","비용 설정 필요",IFERROR(P277/F277,0)))</f>
      </c>
    </row>
    <row r="278">
      <c r="B278" s="7"/>
      <c r="C278" s="5"/>
      <c r="D278" s="5"/>
      <c r="E278" s="8"/>
      <c r="F278" s="8"/>
      <c r="G278" s="8"/>
      <c r="H278" s="8"/>
      <c r="I278" s="6"/>
      <c r="J278" s="10" t="str">
        <f>IF(AND(B278="",C278="",D278=""),"",IF(OR(B278="",D278=""),"비용 설정 필요",IF(COUNTIFS('3_채널별_비용설정'!$C$6:$C$55,D278,'3_채널별_비용설정'!$D$6:$D$55,"&lt;="&amp;B278,'3_채널별_비용설정'!$L$6:$L$55,"&gt;="&amp;B278)=0,"비용 설정 필요",IF(COUNTIFS('3_채널별_비용설정'!$C$6:$C$55,D278,'3_채널별_비용설정'!$D$6:$D$55,"&lt;="&amp;B278,'3_채널별_비용설정'!$L$6:$L$55,"&gt;="&amp;B278)&gt;1,"기간 중복 확인","정상"))))</f>
      </c>
      <c r="K278" s="15" t="str">
        <f>IF(J278="","",IF(J278&lt;&gt;"정상","비용 설정 필요",SUMIFS('3_채널별_비용설정'!$F$6:$F$55,'3_채널별_비용설정'!$C$6:$C$55,D278,'3_채널별_비용설정'!$D$6:$D$55,"&lt;="&amp;B278,'3_채널별_비용설정'!$L$6:$L$55,"&gt;="&amp;B278)))</f>
      </c>
      <c r="L278" s="12" t="str">
        <f>IF(J278="","",IF(J278&lt;&gt;"정상","비용 설정 필요",ROUND(F278*K278,0)))</f>
      </c>
      <c r="M278" s="12" t="str">
        <f>IF(J278="","",IF(J278&lt;&gt;"정상","비용 설정 필요",SUMIFS('3_채널별_비용설정'!$J$6:$J$55,'3_채널별_비용설정'!$C$6:$C$55,D278,'3_채널별_비용설정'!$D$6:$D$55,"&lt;="&amp;B278,'3_채널별_비용설정'!$L$6:$L$55,"&gt;="&amp;B278)))</f>
      </c>
      <c r="N278" s="12" t="str">
        <f>IF(J278="","",IF(J278&lt;&gt;"정상","비용 설정 필요",E278*M278))</f>
      </c>
      <c r="O278" s="12" t="str">
        <f>IF(J278="","",IF(J278&lt;&gt;"정상","비용 설정 필요",G278+L278+N278+H278))</f>
      </c>
      <c r="P278" s="13" t="str">
        <f>IF(J278="","",IF(J278&lt;&gt;"정상","비용 설정 필요",F278-O278))</f>
      </c>
      <c r="Q278" s="14" t="str">
        <f>IF(J278="","",IF(J278&lt;&gt;"정상","비용 설정 필요",IFERROR(P278/F278,0)))</f>
      </c>
    </row>
    <row r="279">
      <c r="B279" s="7"/>
      <c r="C279" s="5"/>
      <c r="D279" s="5"/>
      <c r="E279" s="8"/>
      <c r="F279" s="8"/>
      <c r="G279" s="8"/>
      <c r="H279" s="8"/>
      <c r="I279" s="6"/>
      <c r="J279" s="10" t="str">
        <f>IF(AND(B279="",C279="",D279=""),"",IF(OR(B279="",D279=""),"비용 설정 필요",IF(COUNTIFS('3_채널별_비용설정'!$C$6:$C$55,D279,'3_채널별_비용설정'!$D$6:$D$55,"&lt;="&amp;B279,'3_채널별_비용설정'!$L$6:$L$55,"&gt;="&amp;B279)=0,"비용 설정 필요",IF(COUNTIFS('3_채널별_비용설정'!$C$6:$C$55,D279,'3_채널별_비용설정'!$D$6:$D$55,"&lt;="&amp;B279,'3_채널별_비용설정'!$L$6:$L$55,"&gt;="&amp;B279)&gt;1,"기간 중복 확인","정상"))))</f>
      </c>
      <c r="K279" s="15" t="str">
        <f>IF(J279="","",IF(J279&lt;&gt;"정상","비용 설정 필요",SUMIFS('3_채널별_비용설정'!$F$6:$F$55,'3_채널별_비용설정'!$C$6:$C$55,D279,'3_채널별_비용설정'!$D$6:$D$55,"&lt;="&amp;B279,'3_채널별_비용설정'!$L$6:$L$55,"&gt;="&amp;B279)))</f>
      </c>
      <c r="L279" s="12" t="str">
        <f>IF(J279="","",IF(J279&lt;&gt;"정상","비용 설정 필요",ROUND(F279*K279,0)))</f>
      </c>
      <c r="M279" s="12" t="str">
        <f>IF(J279="","",IF(J279&lt;&gt;"정상","비용 설정 필요",SUMIFS('3_채널별_비용설정'!$J$6:$J$55,'3_채널별_비용설정'!$C$6:$C$55,D279,'3_채널별_비용설정'!$D$6:$D$55,"&lt;="&amp;B279,'3_채널별_비용설정'!$L$6:$L$55,"&gt;="&amp;B279)))</f>
      </c>
      <c r="N279" s="12" t="str">
        <f>IF(J279="","",IF(J279&lt;&gt;"정상","비용 설정 필요",E279*M279))</f>
      </c>
      <c r="O279" s="12" t="str">
        <f>IF(J279="","",IF(J279&lt;&gt;"정상","비용 설정 필요",G279+L279+N279+H279))</f>
      </c>
      <c r="P279" s="13" t="str">
        <f>IF(J279="","",IF(J279&lt;&gt;"정상","비용 설정 필요",F279-O279))</f>
      </c>
      <c r="Q279" s="14" t="str">
        <f>IF(J279="","",IF(J279&lt;&gt;"정상","비용 설정 필요",IFERROR(P279/F279,0)))</f>
      </c>
    </row>
    <row r="280">
      <c r="B280" s="7"/>
      <c r="C280" s="5"/>
      <c r="D280" s="5"/>
      <c r="E280" s="8"/>
      <c r="F280" s="8"/>
      <c r="G280" s="8"/>
      <c r="H280" s="8"/>
      <c r="I280" s="6"/>
      <c r="J280" s="10" t="str">
        <f>IF(AND(B280="",C280="",D280=""),"",IF(OR(B280="",D280=""),"비용 설정 필요",IF(COUNTIFS('3_채널별_비용설정'!$C$6:$C$55,D280,'3_채널별_비용설정'!$D$6:$D$55,"&lt;="&amp;B280,'3_채널별_비용설정'!$L$6:$L$55,"&gt;="&amp;B280)=0,"비용 설정 필요",IF(COUNTIFS('3_채널별_비용설정'!$C$6:$C$55,D280,'3_채널별_비용설정'!$D$6:$D$55,"&lt;="&amp;B280,'3_채널별_비용설정'!$L$6:$L$55,"&gt;="&amp;B280)&gt;1,"기간 중복 확인","정상"))))</f>
      </c>
      <c r="K280" s="15" t="str">
        <f>IF(J280="","",IF(J280&lt;&gt;"정상","비용 설정 필요",SUMIFS('3_채널별_비용설정'!$F$6:$F$55,'3_채널별_비용설정'!$C$6:$C$55,D280,'3_채널별_비용설정'!$D$6:$D$55,"&lt;="&amp;B280,'3_채널별_비용설정'!$L$6:$L$55,"&gt;="&amp;B280)))</f>
      </c>
      <c r="L280" s="12" t="str">
        <f>IF(J280="","",IF(J280&lt;&gt;"정상","비용 설정 필요",ROUND(F280*K280,0)))</f>
      </c>
      <c r="M280" s="12" t="str">
        <f>IF(J280="","",IF(J280&lt;&gt;"정상","비용 설정 필요",SUMIFS('3_채널별_비용설정'!$J$6:$J$55,'3_채널별_비용설정'!$C$6:$C$55,D280,'3_채널별_비용설정'!$D$6:$D$55,"&lt;="&amp;B280,'3_채널별_비용설정'!$L$6:$L$55,"&gt;="&amp;B280)))</f>
      </c>
      <c r="N280" s="12" t="str">
        <f>IF(J280="","",IF(J280&lt;&gt;"정상","비용 설정 필요",E280*M280))</f>
      </c>
      <c r="O280" s="12" t="str">
        <f>IF(J280="","",IF(J280&lt;&gt;"정상","비용 설정 필요",G280+L280+N280+H280))</f>
      </c>
      <c r="P280" s="13" t="str">
        <f>IF(J280="","",IF(J280&lt;&gt;"정상","비용 설정 필요",F280-O280))</f>
      </c>
      <c r="Q280" s="14" t="str">
        <f>IF(J280="","",IF(J280&lt;&gt;"정상","비용 설정 필요",IFERROR(P280/F280,0)))</f>
      </c>
    </row>
    <row r="281">
      <c r="B281" s="7"/>
      <c r="C281" s="5"/>
      <c r="D281" s="5"/>
      <c r="E281" s="8"/>
      <c r="F281" s="8"/>
      <c r="G281" s="8"/>
      <c r="H281" s="8"/>
      <c r="I281" s="6"/>
      <c r="J281" s="10" t="str">
        <f>IF(AND(B281="",C281="",D281=""),"",IF(OR(B281="",D281=""),"비용 설정 필요",IF(COUNTIFS('3_채널별_비용설정'!$C$6:$C$55,D281,'3_채널별_비용설정'!$D$6:$D$55,"&lt;="&amp;B281,'3_채널별_비용설정'!$L$6:$L$55,"&gt;="&amp;B281)=0,"비용 설정 필요",IF(COUNTIFS('3_채널별_비용설정'!$C$6:$C$55,D281,'3_채널별_비용설정'!$D$6:$D$55,"&lt;="&amp;B281,'3_채널별_비용설정'!$L$6:$L$55,"&gt;="&amp;B281)&gt;1,"기간 중복 확인","정상"))))</f>
      </c>
      <c r="K281" s="15" t="str">
        <f>IF(J281="","",IF(J281&lt;&gt;"정상","비용 설정 필요",SUMIFS('3_채널별_비용설정'!$F$6:$F$55,'3_채널별_비용설정'!$C$6:$C$55,D281,'3_채널별_비용설정'!$D$6:$D$55,"&lt;="&amp;B281,'3_채널별_비용설정'!$L$6:$L$55,"&gt;="&amp;B281)))</f>
      </c>
      <c r="L281" s="12" t="str">
        <f>IF(J281="","",IF(J281&lt;&gt;"정상","비용 설정 필요",ROUND(F281*K281,0)))</f>
      </c>
      <c r="M281" s="12" t="str">
        <f>IF(J281="","",IF(J281&lt;&gt;"정상","비용 설정 필요",SUMIFS('3_채널별_비용설정'!$J$6:$J$55,'3_채널별_비용설정'!$C$6:$C$55,D281,'3_채널별_비용설정'!$D$6:$D$55,"&lt;="&amp;B281,'3_채널별_비용설정'!$L$6:$L$55,"&gt;="&amp;B281)))</f>
      </c>
      <c r="N281" s="12" t="str">
        <f>IF(J281="","",IF(J281&lt;&gt;"정상","비용 설정 필요",E281*M281))</f>
      </c>
      <c r="O281" s="12" t="str">
        <f>IF(J281="","",IF(J281&lt;&gt;"정상","비용 설정 필요",G281+L281+N281+H281))</f>
      </c>
      <c r="P281" s="13" t="str">
        <f>IF(J281="","",IF(J281&lt;&gt;"정상","비용 설정 필요",F281-O281))</f>
      </c>
      <c r="Q281" s="14" t="str">
        <f>IF(J281="","",IF(J281&lt;&gt;"정상","비용 설정 필요",IFERROR(P281/F281,0)))</f>
      </c>
    </row>
    <row r="282">
      <c r="B282" s="7"/>
      <c r="C282" s="5"/>
      <c r="D282" s="5"/>
      <c r="E282" s="8"/>
      <c r="F282" s="8"/>
      <c r="G282" s="8"/>
      <c r="H282" s="8"/>
      <c r="I282" s="6"/>
      <c r="J282" s="10" t="str">
        <f>IF(AND(B282="",C282="",D282=""),"",IF(OR(B282="",D282=""),"비용 설정 필요",IF(COUNTIFS('3_채널별_비용설정'!$C$6:$C$55,D282,'3_채널별_비용설정'!$D$6:$D$55,"&lt;="&amp;B282,'3_채널별_비용설정'!$L$6:$L$55,"&gt;="&amp;B282)=0,"비용 설정 필요",IF(COUNTIFS('3_채널별_비용설정'!$C$6:$C$55,D282,'3_채널별_비용설정'!$D$6:$D$55,"&lt;="&amp;B282,'3_채널별_비용설정'!$L$6:$L$55,"&gt;="&amp;B282)&gt;1,"기간 중복 확인","정상"))))</f>
      </c>
      <c r="K282" s="15" t="str">
        <f>IF(J282="","",IF(J282&lt;&gt;"정상","비용 설정 필요",SUMIFS('3_채널별_비용설정'!$F$6:$F$55,'3_채널별_비용설정'!$C$6:$C$55,D282,'3_채널별_비용설정'!$D$6:$D$55,"&lt;="&amp;B282,'3_채널별_비용설정'!$L$6:$L$55,"&gt;="&amp;B282)))</f>
      </c>
      <c r="L282" s="12" t="str">
        <f>IF(J282="","",IF(J282&lt;&gt;"정상","비용 설정 필요",ROUND(F282*K282,0)))</f>
      </c>
      <c r="M282" s="12" t="str">
        <f>IF(J282="","",IF(J282&lt;&gt;"정상","비용 설정 필요",SUMIFS('3_채널별_비용설정'!$J$6:$J$55,'3_채널별_비용설정'!$C$6:$C$55,D282,'3_채널별_비용설정'!$D$6:$D$55,"&lt;="&amp;B282,'3_채널별_비용설정'!$L$6:$L$55,"&gt;="&amp;B282)))</f>
      </c>
      <c r="N282" s="12" t="str">
        <f>IF(J282="","",IF(J282&lt;&gt;"정상","비용 설정 필요",E282*M282))</f>
      </c>
      <c r="O282" s="12" t="str">
        <f>IF(J282="","",IF(J282&lt;&gt;"정상","비용 설정 필요",G282+L282+N282+H282))</f>
      </c>
      <c r="P282" s="13" t="str">
        <f>IF(J282="","",IF(J282&lt;&gt;"정상","비용 설정 필요",F282-O282))</f>
      </c>
      <c r="Q282" s="14" t="str">
        <f>IF(J282="","",IF(J282&lt;&gt;"정상","비용 설정 필요",IFERROR(P282/F282,0)))</f>
      </c>
    </row>
    <row r="283">
      <c r="B283" s="7"/>
      <c r="C283" s="5"/>
      <c r="D283" s="5"/>
      <c r="E283" s="8"/>
      <c r="F283" s="8"/>
      <c r="G283" s="8"/>
      <c r="H283" s="8"/>
      <c r="I283" s="6"/>
      <c r="J283" s="10" t="str">
        <f>IF(AND(B283="",C283="",D283=""),"",IF(OR(B283="",D283=""),"비용 설정 필요",IF(COUNTIFS('3_채널별_비용설정'!$C$6:$C$55,D283,'3_채널별_비용설정'!$D$6:$D$55,"&lt;="&amp;B283,'3_채널별_비용설정'!$L$6:$L$55,"&gt;="&amp;B283)=0,"비용 설정 필요",IF(COUNTIFS('3_채널별_비용설정'!$C$6:$C$55,D283,'3_채널별_비용설정'!$D$6:$D$55,"&lt;="&amp;B283,'3_채널별_비용설정'!$L$6:$L$55,"&gt;="&amp;B283)&gt;1,"기간 중복 확인","정상"))))</f>
      </c>
      <c r="K283" s="15" t="str">
        <f>IF(J283="","",IF(J283&lt;&gt;"정상","비용 설정 필요",SUMIFS('3_채널별_비용설정'!$F$6:$F$55,'3_채널별_비용설정'!$C$6:$C$55,D283,'3_채널별_비용설정'!$D$6:$D$55,"&lt;="&amp;B283,'3_채널별_비용설정'!$L$6:$L$55,"&gt;="&amp;B283)))</f>
      </c>
      <c r="L283" s="12" t="str">
        <f>IF(J283="","",IF(J283&lt;&gt;"정상","비용 설정 필요",ROUND(F283*K283,0)))</f>
      </c>
      <c r="M283" s="12" t="str">
        <f>IF(J283="","",IF(J283&lt;&gt;"정상","비용 설정 필요",SUMIFS('3_채널별_비용설정'!$J$6:$J$55,'3_채널별_비용설정'!$C$6:$C$55,D283,'3_채널별_비용설정'!$D$6:$D$55,"&lt;="&amp;B283,'3_채널별_비용설정'!$L$6:$L$55,"&gt;="&amp;B283)))</f>
      </c>
      <c r="N283" s="12" t="str">
        <f>IF(J283="","",IF(J283&lt;&gt;"정상","비용 설정 필요",E283*M283))</f>
      </c>
      <c r="O283" s="12" t="str">
        <f>IF(J283="","",IF(J283&lt;&gt;"정상","비용 설정 필요",G283+L283+N283+H283))</f>
      </c>
      <c r="P283" s="13" t="str">
        <f>IF(J283="","",IF(J283&lt;&gt;"정상","비용 설정 필요",F283-O283))</f>
      </c>
      <c r="Q283" s="14" t="str">
        <f>IF(J283="","",IF(J283&lt;&gt;"정상","비용 설정 필요",IFERROR(P283/F283,0)))</f>
      </c>
    </row>
    <row r="284">
      <c r="B284" s="7"/>
      <c r="C284" s="5"/>
      <c r="D284" s="5"/>
      <c r="E284" s="8"/>
      <c r="F284" s="8"/>
      <c r="G284" s="8"/>
      <c r="H284" s="8"/>
      <c r="I284" s="6"/>
      <c r="J284" s="10" t="str">
        <f>IF(AND(B284="",C284="",D284=""),"",IF(OR(B284="",D284=""),"비용 설정 필요",IF(COUNTIFS('3_채널별_비용설정'!$C$6:$C$55,D284,'3_채널별_비용설정'!$D$6:$D$55,"&lt;="&amp;B284,'3_채널별_비용설정'!$L$6:$L$55,"&gt;="&amp;B284)=0,"비용 설정 필요",IF(COUNTIFS('3_채널별_비용설정'!$C$6:$C$55,D284,'3_채널별_비용설정'!$D$6:$D$55,"&lt;="&amp;B284,'3_채널별_비용설정'!$L$6:$L$55,"&gt;="&amp;B284)&gt;1,"기간 중복 확인","정상"))))</f>
      </c>
      <c r="K284" s="15" t="str">
        <f>IF(J284="","",IF(J284&lt;&gt;"정상","비용 설정 필요",SUMIFS('3_채널별_비용설정'!$F$6:$F$55,'3_채널별_비용설정'!$C$6:$C$55,D284,'3_채널별_비용설정'!$D$6:$D$55,"&lt;="&amp;B284,'3_채널별_비용설정'!$L$6:$L$55,"&gt;="&amp;B284)))</f>
      </c>
      <c r="L284" s="12" t="str">
        <f>IF(J284="","",IF(J284&lt;&gt;"정상","비용 설정 필요",ROUND(F284*K284,0)))</f>
      </c>
      <c r="M284" s="12" t="str">
        <f>IF(J284="","",IF(J284&lt;&gt;"정상","비용 설정 필요",SUMIFS('3_채널별_비용설정'!$J$6:$J$55,'3_채널별_비용설정'!$C$6:$C$55,D284,'3_채널별_비용설정'!$D$6:$D$55,"&lt;="&amp;B284,'3_채널별_비용설정'!$L$6:$L$55,"&gt;="&amp;B284)))</f>
      </c>
      <c r="N284" s="12" t="str">
        <f>IF(J284="","",IF(J284&lt;&gt;"정상","비용 설정 필요",E284*M284))</f>
      </c>
      <c r="O284" s="12" t="str">
        <f>IF(J284="","",IF(J284&lt;&gt;"정상","비용 설정 필요",G284+L284+N284+H284))</f>
      </c>
      <c r="P284" s="13" t="str">
        <f>IF(J284="","",IF(J284&lt;&gt;"정상","비용 설정 필요",F284-O284))</f>
      </c>
      <c r="Q284" s="14" t="str">
        <f>IF(J284="","",IF(J284&lt;&gt;"정상","비용 설정 필요",IFERROR(P284/F284,0)))</f>
      </c>
    </row>
    <row r="285">
      <c r="B285" s="7"/>
      <c r="C285" s="5"/>
      <c r="D285" s="5"/>
      <c r="E285" s="8"/>
      <c r="F285" s="8"/>
      <c r="G285" s="8"/>
      <c r="H285" s="8"/>
      <c r="I285" s="6"/>
      <c r="J285" s="10" t="str">
        <f>IF(AND(B285="",C285="",D285=""),"",IF(OR(B285="",D285=""),"비용 설정 필요",IF(COUNTIFS('3_채널별_비용설정'!$C$6:$C$55,D285,'3_채널별_비용설정'!$D$6:$D$55,"&lt;="&amp;B285,'3_채널별_비용설정'!$L$6:$L$55,"&gt;="&amp;B285)=0,"비용 설정 필요",IF(COUNTIFS('3_채널별_비용설정'!$C$6:$C$55,D285,'3_채널별_비용설정'!$D$6:$D$55,"&lt;="&amp;B285,'3_채널별_비용설정'!$L$6:$L$55,"&gt;="&amp;B285)&gt;1,"기간 중복 확인","정상"))))</f>
      </c>
      <c r="K285" s="15" t="str">
        <f>IF(J285="","",IF(J285&lt;&gt;"정상","비용 설정 필요",SUMIFS('3_채널별_비용설정'!$F$6:$F$55,'3_채널별_비용설정'!$C$6:$C$55,D285,'3_채널별_비용설정'!$D$6:$D$55,"&lt;="&amp;B285,'3_채널별_비용설정'!$L$6:$L$55,"&gt;="&amp;B285)))</f>
      </c>
      <c r="L285" s="12" t="str">
        <f>IF(J285="","",IF(J285&lt;&gt;"정상","비용 설정 필요",ROUND(F285*K285,0)))</f>
      </c>
      <c r="M285" s="12" t="str">
        <f>IF(J285="","",IF(J285&lt;&gt;"정상","비용 설정 필요",SUMIFS('3_채널별_비용설정'!$J$6:$J$55,'3_채널별_비용설정'!$C$6:$C$55,D285,'3_채널별_비용설정'!$D$6:$D$55,"&lt;="&amp;B285,'3_채널별_비용설정'!$L$6:$L$55,"&gt;="&amp;B285)))</f>
      </c>
      <c r="N285" s="12" t="str">
        <f>IF(J285="","",IF(J285&lt;&gt;"정상","비용 설정 필요",E285*M285))</f>
      </c>
      <c r="O285" s="12" t="str">
        <f>IF(J285="","",IF(J285&lt;&gt;"정상","비용 설정 필요",G285+L285+N285+H285))</f>
      </c>
      <c r="P285" s="13" t="str">
        <f>IF(J285="","",IF(J285&lt;&gt;"정상","비용 설정 필요",F285-O285))</f>
      </c>
      <c r="Q285" s="14" t="str">
        <f>IF(J285="","",IF(J285&lt;&gt;"정상","비용 설정 필요",IFERROR(P285/F285,0)))</f>
      </c>
    </row>
    <row r="286">
      <c r="B286" s="7"/>
      <c r="C286" s="5"/>
      <c r="D286" s="5"/>
      <c r="E286" s="8"/>
      <c r="F286" s="8"/>
      <c r="G286" s="8"/>
      <c r="H286" s="8"/>
      <c r="I286" s="6"/>
      <c r="J286" s="10" t="str">
        <f>IF(AND(B286="",C286="",D286=""),"",IF(OR(B286="",D286=""),"비용 설정 필요",IF(COUNTIFS('3_채널별_비용설정'!$C$6:$C$55,D286,'3_채널별_비용설정'!$D$6:$D$55,"&lt;="&amp;B286,'3_채널별_비용설정'!$L$6:$L$55,"&gt;="&amp;B286)=0,"비용 설정 필요",IF(COUNTIFS('3_채널별_비용설정'!$C$6:$C$55,D286,'3_채널별_비용설정'!$D$6:$D$55,"&lt;="&amp;B286,'3_채널별_비용설정'!$L$6:$L$55,"&gt;="&amp;B286)&gt;1,"기간 중복 확인","정상"))))</f>
      </c>
      <c r="K286" s="15" t="str">
        <f>IF(J286="","",IF(J286&lt;&gt;"정상","비용 설정 필요",SUMIFS('3_채널별_비용설정'!$F$6:$F$55,'3_채널별_비용설정'!$C$6:$C$55,D286,'3_채널별_비용설정'!$D$6:$D$55,"&lt;="&amp;B286,'3_채널별_비용설정'!$L$6:$L$55,"&gt;="&amp;B286)))</f>
      </c>
      <c r="L286" s="12" t="str">
        <f>IF(J286="","",IF(J286&lt;&gt;"정상","비용 설정 필요",ROUND(F286*K286,0)))</f>
      </c>
      <c r="M286" s="12" t="str">
        <f>IF(J286="","",IF(J286&lt;&gt;"정상","비용 설정 필요",SUMIFS('3_채널별_비용설정'!$J$6:$J$55,'3_채널별_비용설정'!$C$6:$C$55,D286,'3_채널별_비용설정'!$D$6:$D$55,"&lt;="&amp;B286,'3_채널별_비용설정'!$L$6:$L$55,"&gt;="&amp;B286)))</f>
      </c>
      <c r="N286" s="12" t="str">
        <f>IF(J286="","",IF(J286&lt;&gt;"정상","비용 설정 필요",E286*M286))</f>
      </c>
      <c r="O286" s="12" t="str">
        <f>IF(J286="","",IF(J286&lt;&gt;"정상","비용 설정 필요",G286+L286+N286+H286))</f>
      </c>
      <c r="P286" s="13" t="str">
        <f>IF(J286="","",IF(J286&lt;&gt;"정상","비용 설정 필요",F286-O286))</f>
      </c>
      <c r="Q286" s="14" t="str">
        <f>IF(J286="","",IF(J286&lt;&gt;"정상","비용 설정 필요",IFERROR(P286/F286,0)))</f>
      </c>
    </row>
    <row r="287">
      <c r="B287" s="7"/>
      <c r="C287" s="5"/>
      <c r="D287" s="5"/>
      <c r="E287" s="8"/>
      <c r="F287" s="8"/>
      <c r="G287" s="8"/>
      <c r="H287" s="8"/>
      <c r="I287" s="6"/>
      <c r="J287" s="10" t="str">
        <f>IF(AND(B287="",C287="",D287=""),"",IF(OR(B287="",D287=""),"비용 설정 필요",IF(COUNTIFS('3_채널별_비용설정'!$C$6:$C$55,D287,'3_채널별_비용설정'!$D$6:$D$55,"&lt;="&amp;B287,'3_채널별_비용설정'!$L$6:$L$55,"&gt;="&amp;B287)=0,"비용 설정 필요",IF(COUNTIFS('3_채널별_비용설정'!$C$6:$C$55,D287,'3_채널별_비용설정'!$D$6:$D$55,"&lt;="&amp;B287,'3_채널별_비용설정'!$L$6:$L$55,"&gt;="&amp;B287)&gt;1,"기간 중복 확인","정상"))))</f>
      </c>
      <c r="K287" s="15" t="str">
        <f>IF(J287="","",IF(J287&lt;&gt;"정상","비용 설정 필요",SUMIFS('3_채널별_비용설정'!$F$6:$F$55,'3_채널별_비용설정'!$C$6:$C$55,D287,'3_채널별_비용설정'!$D$6:$D$55,"&lt;="&amp;B287,'3_채널별_비용설정'!$L$6:$L$55,"&gt;="&amp;B287)))</f>
      </c>
      <c r="L287" s="12" t="str">
        <f>IF(J287="","",IF(J287&lt;&gt;"정상","비용 설정 필요",ROUND(F287*K287,0)))</f>
      </c>
      <c r="M287" s="12" t="str">
        <f>IF(J287="","",IF(J287&lt;&gt;"정상","비용 설정 필요",SUMIFS('3_채널별_비용설정'!$J$6:$J$55,'3_채널별_비용설정'!$C$6:$C$55,D287,'3_채널별_비용설정'!$D$6:$D$55,"&lt;="&amp;B287,'3_채널별_비용설정'!$L$6:$L$55,"&gt;="&amp;B287)))</f>
      </c>
      <c r="N287" s="12" t="str">
        <f>IF(J287="","",IF(J287&lt;&gt;"정상","비용 설정 필요",E287*M287))</f>
      </c>
      <c r="O287" s="12" t="str">
        <f>IF(J287="","",IF(J287&lt;&gt;"정상","비용 설정 필요",G287+L287+N287+H287))</f>
      </c>
      <c r="P287" s="13" t="str">
        <f>IF(J287="","",IF(J287&lt;&gt;"정상","비용 설정 필요",F287-O287))</f>
      </c>
      <c r="Q287" s="14" t="str">
        <f>IF(J287="","",IF(J287&lt;&gt;"정상","비용 설정 필요",IFERROR(P287/F287,0)))</f>
      </c>
    </row>
    <row r="288">
      <c r="B288" s="7"/>
      <c r="C288" s="5"/>
      <c r="D288" s="5"/>
      <c r="E288" s="8"/>
      <c r="F288" s="8"/>
      <c r="G288" s="8"/>
      <c r="H288" s="8"/>
      <c r="I288" s="6"/>
      <c r="J288" s="10" t="str">
        <f>IF(AND(B288="",C288="",D288=""),"",IF(OR(B288="",D288=""),"비용 설정 필요",IF(COUNTIFS('3_채널별_비용설정'!$C$6:$C$55,D288,'3_채널별_비용설정'!$D$6:$D$55,"&lt;="&amp;B288,'3_채널별_비용설정'!$L$6:$L$55,"&gt;="&amp;B288)=0,"비용 설정 필요",IF(COUNTIFS('3_채널별_비용설정'!$C$6:$C$55,D288,'3_채널별_비용설정'!$D$6:$D$55,"&lt;="&amp;B288,'3_채널별_비용설정'!$L$6:$L$55,"&gt;="&amp;B288)&gt;1,"기간 중복 확인","정상"))))</f>
      </c>
      <c r="K288" s="15" t="str">
        <f>IF(J288="","",IF(J288&lt;&gt;"정상","비용 설정 필요",SUMIFS('3_채널별_비용설정'!$F$6:$F$55,'3_채널별_비용설정'!$C$6:$C$55,D288,'3_채널별_비용설정'!$D$6:$D$55,"&lt;="&amp;B288,'3_채널별_비용설정'!$L$6:$L$55,"&gt;="&amp;B288)))</f>
      </c>
      <c r="L288" s="12" t="str">
        <f>IF(J288="","",IF(J288&lt;&gt;"정상","비용 설정 필요",ROUND(F288*K288,0)))</f>
      </c>
      <c r="M288" s="12" t="str">
        <f>IF(J288="","",IF(J288&lt;&gt;"정상","비용 설정 필요",SUMIFS('3_채널별_비용설정'!$J$6:$J$55,'3_채널별_비용설정'!$C$6:$C$55,D288,'3_채널별_비용설정'!$D$6:$D$55,"&lt;="&amp;B288,'3_채널별_비용설정'!$L$6:$L$55,"&gt;="&amp;B288)))</f>
      </c>
      <c r="N288" s="12" t="str">
        <f>IF(J288="","",IF(J288&lt;&gt;"정상","비용 설정 필요",E288*M288))</f>
      </c>
      <c r="O288" s="12" t="str">
        <f>IF(J288="","",IF(J288&lt;&gt;"정상","비용 설정 필요",G288+L288+N288+H288))</f>
      </c>
      <c r="P288" s="13" t="str">
        <f>IF(J288="","",IF(J288&lt;&gt;"정상","비용 설정 필요",F288-O288))</f>
      </c>
      <c r="Q288" s="14" t="str">
        <f>IF(J288="","",IF(J288&lt;&gt;"정상","비용 설정 필요",IFERROR(P288/F288,0)))</f>
      </c>
    </row>
    <row r="289">
      <c r="B289" s="7"/>
      <c r="C289" s="5"/>
      <c r="D289" s="5"/>
      <c r="E289" s="8"/>
      <c r="F289" s="8"/>
      <c r="G289" s="8"/>
      <c r="H289" s="8"/>
      <c r="I289" s="6"/>
      <c r="J289" s="10" t="str">
        <f>IF(AND(B289="",C289="",D289=""),"",IF(OR(B289="",D289=""),"비용 설정 필요",IF(COUNTIFS('3_채널별_비용설정'!$C$6:$C$55,D289,'3_채널별_비용설정'!$D$6:$D$55,"&lt;="&amp;B289,'3_채널별_비용설정'!$L$6:$L$55,"&gt;="&amp;B289)=0,"비용 설정 필요",IF(COUNTIFS('3_채널별_비용설정'!$C$6:$C$55,D289,'3_채널별_비용설정'!$D$6:$D$55,"&lt;="&amp;B289,'3_채널별_비용설정'!$L$6:$L$55,"&gt;="&amp;B289)&gt;1,"기간 중복 확인","정상"))))</f>
      </c>
      <c r="K289" s="15" t="str">
        <f>IF(J289="","",IF(J289&lt;&gt;"정상","비용 설정 필요",SUMIFS('3_채널별_비용설정'!$F$6:$F$55,'3_채널별_비용설정'!$C$6:$C$55,D289,'3_채널별_비용설정'!$D$6:$D$55,"&lt;="&amp;B289,'3_채널별_비용설정'!$L$6:$L$55,"&gt;="&amp;B289)))</f>
      </c>
      <c r="L289" s="12" t="str">
        <f>IF(J289="","",IF(J289&lt;&gt;"정상","비용 설정 필요",ROUND(F289*K289,0)))</f>
      </c>
      <c r="M289" s="12" t="str">
        <f>IF(J289="","",IF(J289&lt;&gt;"정상","비용 설정 필요",SUMIFS('3_채널별_비용설정'!$J$6:$J$55,'3_채널별_비용설정'!$C$6:$C$55,D289,'3_채널별_비용설정'!$D$6:$D$55,"&lt;="&amp;B289,'3_채널별_비용설정'!$L$6:$L$55,"&gt;="&amp;B289)))</f>
      </c>
      <c r="N289" s="12" t="str">
        <f>IF(J289="","",IF(J289&lt;&gt;"정상","비용 설정 필요",E289*M289))</f>
      </c>
      <c r="O289" s="12" t="str">
        <f>IF(J289="","",IF(J289&lt;&gt;"정상","비용 설정 필요",G289+L289+N289+H289))</f>
      </c>
      <c r="P289" s="13" t="str">
        <f>IF(J289="","",IF(J289&lt;&gt;"정상","비용 설정 필요",F289-O289))</f>
      </c>
      <c r="Q289" s="14" t="str">
        <f>IF(J289="","",IF(J289&lt;&gt;"정상","비용 설정 필요",IFERROR(P289/F289,0)))</f>
      </c>
    </row>
    <row r="290">
      <c r="B290" s="7"/>
      <c r="C290" s="5"/>
      <c r="D290" s="5"/>
      <c r="E290" s="8"/>
      <c r="F290" s="8"/>
      <c r="G290" s="8"/>
      <c r="H290" s="8"/>
      <c r="I290" s="6"/>
      <c r="J290" s="10" t="str">
        <f>IF(AND(B290="",C290="",D290=""),"",IF(OR(B290="",D290=""),"비용 설정 필요",IF(COUNTIFS('3_채널별_비용설정'!$C$6:$C$55,D290,'3_채널별_비용설정'!$D$6:$D$55,"&lt;="&amp;B290,'3_채널별_비용설정'!$L$6:$L$55,"&gt;="&amp;B290)=0,"비용 설정 필요",IF(COUNTIFS('3_채널별_비용설정'!$C$6:$C$55,D290,'3_채널별_비용설정'!$D$6:$D$55,"&lt;="&amp;B290,'3_채널별_비용설정'!$L$6:$L$55,"&gt;="&amp;B290)&gt;1,"기간 중복 확인","정상"))))</f>
      </c>
      <c r="K290" s="15" t="str">
        <f>IF(J290="","",IF(J290&lt;&gt;"정상","비용 설정 필요",SUMIFS('3_채널별_비용설정'!$F$6:$F$55,'3_채널별_비용설정'!$C$6:$C$55,D290,'3_채널별_비용설정'!$D$6:$D$55,"&lt;="&amp;B290,'3_채널별_비용설정'!$L$6:$L$55,"&gt;="&amp;B290)))</f>
      </c>
      <c r="L290" s="12" t="str">
        <f>IF(J290="","",IF(J290&lt;&gt;"정상","비용 설정 필요",ROUND(F290*K290,0)))</f>
      </c>
      <c r="M290" s="12" t="str">
        <f>IF(J290="","",IF(J290&lt;&gt;"정상","비용 설정 필요",SUMIFS('3_채널별_비용설정'!$J$6:$J$55,'3_채널별_비용설정'!$C$6:$C$55,D290,'3_채널별_비용설정'!$D$6:$D$55,"&lt;="&amp;B290,'3_채널별_비용설정'!$L$6:$L$55,"&gt;="&amp;B290)))</f>
      </c>
      <c r="N290" s="12" t="str">
        <f>IF(J290="","",IF(J290&lt;&gt;"정상","비용 설정 필요",E290*M290))</f>
      </c>
      <c r="O290" s="12" t="str">
        <f>IF(J290="","",IF(J290&lt;&gt;"정상","비용 설정 필요",G290+L290+N290+H290))</f>
      </c>
      <c r="P290" s="13" t="str">
        <f>IF(J290="","",IF(J290&lt;&gt;"정상","비용 설정 필요",F290-O290))</f>
      </c>
      <c r="Q290" s="14" t="str">
        <f>IF(J290="","",IF(J290&lt;&gt;"정상","비용 설정 필요",IFERROR(P290/F290,0)))</f>
      </c>
    </row>
    <row r="291">
      <c r="B291" s="7"/>
      <c r="C291" s="5"/>
      <c r="D291" s="5"/>
      <c r="E291" s="8"/>
      <c r="F291" s="8"/>
      <c r="G291" s="8"/>
      <c r="H291" s="8"/>
      <c r="I291" s="6"/>
      <c r="J291" s="10" t="str">
        <f>IF(AND(B291="",C291="",D291=""),"",IF(OR(B291="",D291=""),"비용 설정 필요",IF(COUNTIFS('3_채널별_비용설정'!$C$6:$C$55,D291,'3_채널별_비용설정'!$D$6:$D$55,"&lt;="&amp;B291,'3_채널별_비용설정'!$L$6:$L$55,"&gt;="&amp;B291)=0,"비용 설정 필요",IF(COUNTIFS('3_채널별_비용설정'!$C$6:$C$55,D291,'3_채널별_비용설정'!$D$6:$D$55,"&lt;="&amp;B291,'3_채널별_비용설정'!$L$6:$L$55,"&gt;="&amp;B291)&gt;1,"기간 중복 확인","정상"))))</f>
      </c>
      <c r="K291" s="15" t="str">
        <f>IF(J291="","",IF(J291&lt;&gt;"정상","비용 설정 필요",SUMIFS('3_채널별_비용설정'!$F$6:$F$55,'3_채널별_비용설정'!$C$6:$C$55,D291,'3_채널별_비용설정'!$D$6:$D$55,"&lt;="&amp;B291,'3_채널별_비용설정'!$L$6:$L$55,"&gt;="&amp;B291)))</f>
      </c>
      <c r="L291" s="12" t="str">
        <f>IF(J291="","",IF(J291&lt;&gt;"정상","비용 설정 필요",ROUND(F291*K291,0)))</f>
      </c>
      <c r="M291" s="12" t="str">
        <f>IF(J291="","",IF(J291&lt;&gt;"정상","비용 설정 필요",SUMIFS('3_채널별_비용설정'!$J$6:$J$55,'3_채널별_비용설정'!$C$6:$C$55,D291,'3_채널별_비용설정'!$D$6:$D$55,"&lt;="&amp;B291,'3_채널별_비용설정'!$L$6:$L$55,"&gt;="&amp;B291)))</f>
      </c>
      <c r="N291" s="12" t="str">
        <f>IF(J291="","",IF(J291&lt;&gt;"정상","비용 설정 필요",E291*M291))</f>
      </c>
      <c r="O291" s="12" t="str">
        <f>IF(J291="","",IF(J291&lt;&gt;"정상","비용 설정 필요",G291+L291+N291+H291))</f>
      </c>
      <c r="P291" s="13" t="str">
        <f>IF(J291="","",IF(J291&lt;&gt;"정상","비용 설정 필요",F291-O291))</f>
      </c>
      <c r="Q291" s="14" t="str">
        <f>IF(J291="","",IF(J291&lt;&gt;"정상","비용 설정 필요",IFERROR(P291/F291,0)))</f>
      </c>
    </row>
    <row r="292">
      <c r="B292" s="7"/>
      <c r="C292" s="5"/>
      <c r="D292" s="5"/>
      <c r="E292" s="8"/>
      <c r="F292" s="8"/>
      <c r="G292" s="8"/>
      <c r="H292" s="8"/>
      <c r="I292" s="6"/>
      <c r="J292" s="10" t="str">
        <f>IF(AND(B292="",C292="",D292=""),"",IF(OR(B292="",D292=""),"비용 설정 필요",IF(COUNTIFS('3_채널별_비용설정'!$C$6:$C$55,D292,'3_채널별_비용설정'!$D$6:$D$55,"&lt;="&amp;B292,'3_채널별_비용설정'!$L$6:$L$55,"&gt;="&amp;B292)=0,"비용 설정 필요",IF(COUNTIFS('3_채널별_비용설정'!$C$6:$C$55,D292,'3_채널별_비용설정'!$D$6:$D$55,"&lt;="&amp;B292,'3_채널별_비용설정'!$L$6:$L$55,"&gt;="&amp;B292)&gt;1,"기간 중복 확인","정상"))))</f>
      </c>
      <c r="K292" s="15" t="str">
        <f>IF(J292="","",IF(J292&lt;&gt;"정상","비용 설정 필요",SUMIFS('3_채널별_비용설정'!$F$6:$F$55,'3_채널별_비용설정'!$C$6:$C$55,D292,'3_채널별_비용설정'!$D$6:$D$55,"&lt;="&amp;B292,'3_채널별_비용설정'!$L$6:$L$55,"&gt;="&amp;B292)))</f>
      </c>
      <c r="L292" s="12" t="str">
        <f>IF(J292="","",IF(J292&lt;&gt;"정상","비용 설정 필요",ROUND(F292*K292,0)))</f>
      </c>
      <c r="M292" s="12" t="str">
        <f>IF(J292="","",IF(J292&lt;&gt;"정상","비용 설정 필요",SUMIFS('3_채널별_비용설정'!$J$6:$J$55,'3_채널별_비용설정'!$C$6:$C$55,D292,'3_채널별_비용설정'!$D$6:$D$55,"&lt;="&amp;B292,'3_채널별_비용설정'!$L$6:$L$55,"&gt;="&amp;B292)))</f>
      </c>
      <c r="N292" s="12" t="str">
        <f>IF(J292="","",IF(J292&lt;&gt;"정상","비용 설정 필요",E292*M292))</f>
      </c>
      <c r="O292" s="12" t="str">
        <f>IF(J292="","",IF(J292&lt;&gt;"정상","비용 설정 필요",G292+L292+N292+H292))</f>
      </c>
      <c r="P292" s="13" t="str">
        <f>IF(J292="","",IF(J292&lt;&gt;"정상","비용 설정 필요",F292-O292))</f>
      </c>
      <c r="Q292" s="14" t="str">
        <f>IF(J292="","",IF(J292&lt;&gt;"정상","비용 설정 필요",IFERROR(P292/F292,0)))</f>
      </c>
    </row>
    <row r="293">
      <c r="B293" s="7"/>
      <c r="C293" s="5"/>
      <c r="D293" s="5"/>
      <c r="E293" s="8"/>
      <c r="F293" s="8"/>
      <c r="G293" s="8"/>
      <c r="H293" s="8"/>
      <c r="I293" s="6"/>
      <c r="J293" s="10" t="str">
        <f>IF(AND(B293="",C293="",D293=""),"",IF(OR(B293="",D293=""),"비용 설정 필요",IF(COUNTIFS('3_채널별_비용설정'!$C$6:$C$55,D293,'3_채널별_비용설정'!$D$6:$D$55,"&lt;="&amp;B293,'3_채널별_비용설정'!$L$6:$L$55,"&gt;="&amp;B293)=0,"비용 설정 필요",IF(COUNTIFS('3_채널별_비용설정'!$C$6:$C$55,D293,'3_채널별_비용설정'!$D$6:$D$55,"&lt;="&amp;B293,'3_채널별_비용설정'!$L$6:$L$55,"&gt;="&amp;B293)&gt;1,"기간 중복 확인","정상"))))</f>
      </c>
      <c r="K293" s="15" t="str">
        <f>IF(J293="","",IF(J293&lt;&gt;"정상","비용 설정 필요",SUMIFS('3_채널별_비용설정'!$F$6:$F$55,'3_채널별_비용설정'!$C$6:$C$55,D293,'3_채널별_비용설정'!$D$6:$D$55,"&lt;="&amp;B293,'3_채널별_비용설정'!$L$6:$L$55,"&gt;="&amp;B293)))</f>
      </c>
      <c r="L293" s="12" t="str">
        <f>IF(J293="","",IF(J293&lt;&gt;"정상","비용 설정 필요",ROUND(F293*K293,0)))</f>
      </c>
      <c r="M293" s="12" t="str">
        <f>IF(J293="","",IF(J293&lt;&gt;"정상","비용 설정 필요",SUMIFS('3_채널별_비용설정'!$J$6:$J$55,'3_채널별_비용설정'!$C$6:$C$55,D293,'3_채널별_비용설정'!$D$6:$D$55,"&lt;="&amp;B293,'3_채널별_비용설정'!$L$6:$L$55,"&gt;="&amp;B293)))</f>
      </c>
      <c r="N293" s="12" t="str">
        <f>IF(J293="","",IF(J293&lt;&gt;"정상","비용 설정 필요",E293*M293))</f>
      </c>
      <c r="O293" s="12" t="str">
        <f>IF(J293="","",IF(J293&lt;&gt;"정상","비용 설정 필요",G293+L293+N293+H293))</f>
      </c>
      <c r="P293" s="13" t="str">
        <f>IF(J293="","",IF(J293&lt;&gt;"정상","비용 설정 필요",F293-O293))</f>
      </c>
      <c r="Q293" s="14" t="str">
        <f>IF(J293="","",IF(J293&lt;&gt;"정상","비용 설정 필요",IFERROR(P293/F293,0)))</f>
      </c>
    </row>
    <row r="294">
      <c r="B294" s="7"/>
      <c r="C294" s="5"/>
      <c r="D294" s="5"/>
      <c r="E294" s="8"/>
      <c r="F294" s="8"/>
      <c r="G294" s="8"/>
      <c r="H294" s="8"/>
      <c r="I294" s="6"/>
      <c r="J294" s="10" t="str">
        <f>IF(AND(B294="",C294="",D294=""),"",IF(OR(B294="",D294=""),"비용 설정 필요",IF(COUNTIFS('3_채널별_비용설정'!$C$6:$C$55,D294,'3_채널별_비용설정'!$D$6:$D$55,"&lt;="&amp;B294,'3_채널별_비용설정'!$L$6:$L$55,"&gt;="&amp;B294)=0,"비용 설정 필요",IF(COUNTIFS('3_채널별_비용설정'!$C$6:$C$55,D294,'3_채널별_비용설정'!$D$6:$D$55,"&lt;="&amp;B294,'3_채널별_비용설정'!$L$6:$L$55,"&gt;="&amp;B294)&gt;1,"기간 중복 확인","정상"))))</f>
      </c>
      <c r="K294" s="15" t="str">
        <f>IF(J294="","",IF(J294&lt;&gt;"정상","비용 설정 필요",SUMIFS('3_채널별_비용설정'!$F$6:$F$55,'3_채널별_비용설정'!$C$6:$C$55,D294,'3_채널별_비용설정'!$D$6:$D$55,"&lt;="&amp;B294,'3_채널별_비용설정'!$L$6:$L$55,"&gt;="&amp;B294)))</f>
      </c>
      <c r="L294" s="12" t="str">
        <f>IF(J294="","",IF(J294&lt;&gt;"정상","비용 설정 필요",ROUND(F294*K294,0)))</f>
      </c>
      <c r="M294" s="12" t="str">
        <f>IF(J294="","",IF(J294&lt;&gt;"정상","비용 설정 필요",SUMIFS('3_채널별_비용설정'!$J$6:$J$55,'3_채널별_비용설정'!$C$6:$C$55,D294,'3_채널별_비용설정'!$D$6:$D$55,"&lt;="&amp;B294,'3_채널별_비용설정'!$L$6:$L$55,"&gt;="&amp;B294)))</f>
      </c>
      <c r="N294" s="12" t="str">
        <f>IF(J294="","",IF(J294&lt;&gt;"정상","비용 설정 필요",E294*M294))</f>
      </c>
      <c r="O294" s="12" t="str">
        <f>IF(J294="","",IF(J294&lt;&gt;"정상","비용 설정 필요",G294+L294+N294+H294))</f>
      </c>
      <c r="P294" s="13" t="str">
        <f>IF(J294="","",IF(J294&lt;&gt;"정상","비용 설정 필요",F294-O294))</f>
      </c>
      <c r="Q294" s="14" t="str">
        <f>IF(J294="","",IF(J294&lt;&gt;"정상","비용 설정 필요",IFERROR(P294/F294,0)))</f>
      </c>
    </row>
    <row r="295">
      <c r="B295" s="7"/>
      <c r="C295" s="5"/>
      <c r="D295" s="5"/>
      <c r="E295" s="8"/>
      <c r="F295" s="8"/>
      <c r="G295" s="8"/>
      <c r="H295" s="8"/>
      <c r="I295" s="6"/>
      <c r="J295" s="10" t="str">
        <f>IF(AND(B295="",C295="",D295=""),"",IF(OR(B295="",D295=""),"비용 설정 필요",IF(COUNTIFS('3_채널별_비용설정'!$C$6:$C$55,D295,'3_채널별_비용설정'!$D$6:$D$55,"&lt;="&amp;B295,'3_채널별_비용설정'!$L$6:$L$55,"&gt;="&amp;B295)=0,"비용 설정 필요",IF(COUNTIFS('3_채널별_비용설정'!$C$6:$C$55,D295,'3_채널별_비용설정'!$D$6:$D$55,"&lt;="&amp;B295,'3_채널별_비용설정'!$L$6:$L$55,"&gt;="&amp;B295)&gt;1,"기간 중복 확인","정상"))))</f>
      </c>
      <c r="K295" s="15" t="str">
        <f>IF(J295="","",IF(J295&lt;&gt;"정상","비용 설정 필요",SUMIFS('3_채널별_비용설정'!$F$6:$F$55,'3_채널별_비용설정'!$C$6:$C$55,D295,'3_채널별_비용설정'!$D$6:$D$55,"&lt;="&amp;B295,'3_채널별_비용설정'!$L$6:$L$55,"&gt;="&amp;B295)))</f>
      </c>
      <c r="L295" s="12" t="str">
        <f>IF(J295="","",IF(J295&lt;&gt;"정상","비용 설정 필요",ROUND(F295*K295,0)))</f>
      </c>
      <c r="M295" s="12" t="str">
        <f>IF(J295="","",IF(J295&lt;&gt;"정상","비용 설정 필요",SUMIFS('3_채널별_비용설정'!$J$6:$J$55,'3_채널별_비용설정'!$C$6:$C$55,D295,'3_채널별_비용설정'!$D$6:$D$55,"&lt;="&amp;B295,'3_채널별_비용설정'!$L$6:$L$55,"&gt;="&amp;B295)))</f>
      </c>
      <c r="N295" s="12" t="str">
        <f>IF(J295="","",IF(J295&lt;&gt;"정상","비용 설정 필요",E295*M295))</f>
      </c>
      <c r="O295" s="12" t="str">
        <f>IF(J295="","",IF(J295&lt;&gt;"정상","비용 설정 필요",G295+L295+N295+H295))</f>
      </c>
      <c r="P295" s="13" t="str">
        <f>IF(J295="","",IF(J295&lt;&gt;"정상","비용 설정 필요",F295-O295))</f>
      </c>
      <c r="Q295" s="14" t="str">
        <f>IF(J295="","",IF(J295&lt;&gt;"정상","비용 설정 필요",IFERROR(P295/F295,0)))</f>
      </c>
    </row>
    <row r="296">
      <c r="B296" s="7"/>
      <c r="C296" s="5"/>
      <c r="D296" s="5"/>
      <c r="E296" s="8"/>
      <c r="F296" s="8"/>
      <c r="G296" s="8"/>
      <c r="H296" s="8"/>
      <c r="I296" s="6"/>
      <c r="J296" s="10" t="str">
        <f>IF(AND(B296="",C296="",D296=""),"",IF(OR(B296="",D296=""),"비용 설정 필요",IF(COUNTIFS('3_채널별_비용설정'!$C$6:$C$55,D296,'3_채널별_비용설정'!$D$6:$D$55,"&lt;="&amp;B296,'3_채널별_비용설정'!$L$6:$L$55,"&gt;="&amp;B296)=0,"비용 설정 필요",IF(COUNTIFS('3_채널별_비용설정'!$C$6:$C$55,D296,'3_채널별_비용설정'!$D$6:$D$55,"&lt;="&amp;B296,'3_채널별_비용설정'!$L$6:$L$55,"&gt;="&amp;B296)&gt;1,"기간 중복 확인","정상"))))</f>
      </c>
      <c r="K296" s="15" t="str">
        <f>IF(J296="","",IF(J296&lt;&gt;"정상","비용 설정 필요",SUMIFS('3_채널별_비용설정'!$F$6:$F$55,'3_채널별_비용설정'!$C$6:$C$55,D296,'3_채널별_비용설정'!$D$6:$D$55,"&lt;="&amp;B296,'3_채널별_비용설정'!$L$6:$L$55,"&gt;="&amp;B296)))</f>
      </c>
      <c r="L296" s="12" t="str">
        <f>IF(J296="","",IF(J296&lt;&gt;"정상","비용 설정 필요",ROUND(F296*K296,0)))</f>
      </c>
      <c r="M296" s="12" t="str">
        <f>IF(J296="","",IF(J296&lt;&gt;"정상","비용 설정 필요",SUMIFS('3_채널별_비용설정'!$J$6:$J$55,'3_채널별_비용설정'!$C$6:$C$55,D296,'3_채널별_비용설정'!$D$6:$D$55,"&lt;="&amp;B296,'3_채널별_비용설정'!$L$6:$L$55,"&gt;="&amp;B296)))</f>
      </c>
      <c r="N296" s="12" t="str">
        <f>IF(J296="","",IF(J296&lt;&gt;"정상","비용 설정 필요",E296*M296))</f>
      </c>
      <c r="O296" s="12" t="str">
        <f>IF(J296="","",IF(J296&lt;&gt;"정상","비용 설정 필요",G296+L296+N296+H296))</f>
      </c>
      <c r="P296" s="13" t="str">
        <f>IF(J296="","",IF(J296&lt;&gt;"정상","비용 설정 필요",F296-O296))</f>
      </c>
      <c r="Q296" s="14" t="str">
        <f>IF(J296="","",IF(J296&lt;&gt;"정상","비용 설정 필요",IFERROR(P296/F296,0)))</f>
      </c>
    </row>
    <row r="297">
      <c r="B297" s="7"/>
      <c r="C297" s="5"/>
      <c r="D297" s="5"/>
      <c r="E297" s="8"/>
      <c r="F297" s="8"/>
      <c r="G297" s="8"/>
      <c r="H297" s="8"/>
      <c r="I297" s="6"/>
      <c r="J297" s="10" t="str">
        <f>IF(AND(B297="",C297="",D297=""),"",IF(OR(B297="",D297=""),"비용 설정 필요",IF(COUNTIFS('3_채널별_비용설정'!$C$6:$C$55,D297,'3_채널별_비용설정'!$D$6:$D$55,"&lt;="&amp;B297,'3_채널별_비용설정'!$L$6:$L$55,"&gt;="&amp;B297)=0,"비용 설정 필요",IF(COUNTIFS('3_채널별_비용설정'!$C$6:$C$55,D297,'3_채널별_비용설정'!$D$6:$D$55,"&lt;="&amp;B297,'3_채널별_비용설정'!$L$6:$L$55,"&gt;="&amp;B297)&gt;1,"기간 중복 확인","정상"))))</f>
      </c>
      <c r="K297" s="15" t="str">
        <f>IF(J297="","",IF(J297&lt;&gt;"정상","비용 설정 필요",SUMIFS('3_채널별_비용설정'!$F$6:$F$55,'3_채널별_비용설정'!$C$6:$C$55,D297,'3_채널별_비용설정'!$D$6:$D$55,"&lt;="&amp;B297,'3_채널별_비용설정'!$L$6:$L$55,"&gt;="&amp;B297)))</f>
      </c>
      <c r="L297" s="12" t="str">
        <f>IF(J297="","",IF(J297&lt;&gt;"정상","비용 설정 필요",ROUND(F297*K297,0)))</f>
      </c>
      <c r="M297" s="12" t="str">
        <f>IF(J297="","",IF(J297&lt;&gt;"정상","비용 설정 필요",SUMIFS('3_채널별_비용설정'!$J$6:$J$55,'3_채널별_비용설정'!$C$6:$C$55,D297,'3_채널별_비용설정'!$D$6:$D$55,"&lt;="&amp;B297,'3_채널별_비용설정'!$L$6:$L$55,"&gt;="&amp;B297)))</f>
      </c>
      <c r="N297" s="12" t="str">
        <f>IF(J297="","",IF(J297&lt;&gt;"정상","비용 설정 필요",E297*M297))</f>
      </c>
      <c r="O297" s="12" t="str">
        <f>IF(J297="","",IF(J297&lt;&gt;"정상","비용 설정 필요",G297+L297+N297+H297))</f>
      </c>
      <c r="P297" s="13" t="str">
        <f>IF(J297="","",IF(J297&lt;&gt;"정상","비용 설정 필요",F297-O297))</f>
      </c>
      <c r="Q297" s="14" t="str">
        <f>IF(J297="","",IF(J297&lt;&gt;"정상","비용 설정 필요",IFERROR(P297/F297,0)))</f>
      </c>
    </row>
    <row r="298">
      <c r="B298" s="7"/>
      <c r="C298" s="5"/>
      <c r="D298" s="5"/>
      <c r="E298" s="8"/>
      <c r="F298" s="8"/>
      <c r="G298" s="8"/>
      <c r="H298" s="8"/>
      <c r="I298" s="6"/>
      <c r="J298" s="10" t="str">
        <f>IF(AND(B298="",C298="",D298=""),"",IF(OR(B298="",D298=""),"비용 설정 필요",IF(COUNTIFS('3_채널별_비용설정'!$C$6:$C$55,D298,'3_채널별_비용설정'!$D$6:$D$55,"&lt;="&amp;B298,'3_채널별_비용설정'!$L$6:$L$55,"&gt;="&amp;B298)=0,"비용 설정 필요",IF(COUNTIFS('3_채널별_비용설정'!$C$6:$C$55,D298,'3_채널별_비용설정'!$D$6:$D$55,"&lt;="&amp;B298,'3_채널별_비용설정'!$L$6:$L$55,"&gt;="&amp;B298)&gt;1,"기간 중복 확인","정상"))))</f>
      </c>
      <c r="K298" s="15" t="str">
        <f>IF(J298="","",IF(J298&lt;&gt;"정상","비용 설정 필요",SUMIFS('3_채널별_비용설정'!$F$6:$F$55,'3_채널별_비용설정'!$C$6:$C$55,D298,'3_채널별_비용설정'!$D$6:$D$55,"&lt;="&amp;B298,'3_채널별_비용설정'!$L$6:$L$55,"&gt;="&amp;B298)))</f>
      </c>
      <c r="L298" s="12" t="str">
        <f>IF(J298="","",IF(J298&lt;&gt;"정상","비용 설정 필요",ROUND(F298*K298,0)))</f>
      </c>
      <c r="M298" s="12" t="str">
        <f>IF(J298="","",IF(J298&lt;&gt;"정상","비용 설정 필요",SUMIFS('3_채널별_비용설정'!$J$6:$J$55,'3_채널별_비용설정'!$C$6:$C$55,D298,'3_채널별_비용설정'!$D$6:$D$55,"&lt;="&amp;B298,'3_채널별_비용설정'!$L$6:$L$55,"&gt;="&amp;B298)))</f>
      </c>
      <c r="N298" s="12" t="str">
        <f>IF(J298="","",IF(J298&lt;&gt;"정상","비용 설정 필요",E298*M298))</f>
      </c>
      <c r="O298" s="12" t="str">
        <f>IF(J298="","",IF(J298&lt;&gt;"정상","비용 설정 필요",G298+L298+N298+H298))</f>
      </c>
      <c r="P298" s="13" t="str">
        <f>IF(J298="","",IF(J298&lt;&gt;"정상","비용 설정 필요",F298-O298))</f>
      </c>
      <c r="Q298" s="14" t="str">
        <f>IF(J298="","",IF(J298&lt;&gt;"정상","비용 설정 필요",IFERROR(P298/F298,0)))</f>
      </c>
    </row>
    <row r="299">
      <c r="B299" s="7"/>
      <c r="C299" s="5"/>
      <c r="D299" s="5"/>
      <c r="E299" s="8"/>
      <c r="F299" s="8"/>
      <c r="G299" s="8"/>
      <c r="H299" s="8"/>
      <c r="I299" s="6"/>
      <c r="J299" s="10" t="str">
        <f>IF(AND(B299="",C299="",D299=""),"",IF(OR(B299="",D299=""),"비용 설정 필요",IF(COUNTIFS('3_채널별_비용설정'!$C$6:$C$55,D299,'3_채널별_비용설정'!$D$6:$D$55,"&lt;="&amp;B299,'3_채널별_비용설정'!$L$6:$L$55,"&gt;="&amp;B299)=0,"비용 설정 필요",IF(COUNTIFS('3_채널별_비용설정'!$C$6:$C$55,D299,'3_채널별_비용설정'!$D$6:$D$55,"&lt;="&amp;B299,'3_채널별_비용설정'!$L$6:$L$55,"&gt;="&amp;B299)&gt;1,"기간 중복 확인","정상"))))</f>
      </c>
      <c r="K299" s="15" t="str">
        <f>IF(J299="","",IF(J299&lt;&gt;"정상","비용 설정 필요",SUMIFS('3_채널별_비용설정'!$F$6:$F$55,'3_채널별_비용설정'!$C$6:$C$55,D299,'3_채널별_비용설정'!$D$6:$D$55,"&lt;="&amp;B299,'3_채널별_비용설정'!$L$6:$L$55,"&gt;="&amp;B299)))</f>
      </c>
      <c r="L299" s="12" t="str">
        <f>IF(J299="","",IF(J299&lt;&gt;"정상","비용 설정 필요",ROUND(F299*K299,0)))</f>
      </c>
      <c r="M299" s="12" t="str">
        <f>IF(J299="","",IF(J299&lt;&gt;"정상","비용 설정 필요",SUMIFS('3_채널별_비용설정'!$J$6:$J$55,'3_채널별_비용설정'!$C$6:$C$55,D299,'3_채널별_비용설정'!$D$6:$D$55,"&lt;="&amp;B299,'3_채널별_비용설정'!$L$6:$L$55,"&gt;="&amp;B299)))</f>
      </c>
      <c r="N299" s="12" t="str">
        <f>IF(J299="","",IF(J299&lt;&gt;"정상","비용 설정 필요",E299*M299))</f>
      </c>
      <c r="O299" s="12" t="str">
        <f>IF(J299="","",IF(J299&lt;&gt;"정상","비용 설정 필요",G299+L299+N299+H299))</f>
      </c>
      <c r="P299" s="13" t="str">
        <f>IF(J299="","",IF(J299&lt;&gt;"정상","비용 설정 필요",F299-O299))</f>
      </c>
      <c r="Q299" s="14" t="str">
        <f>IF(J299="","",IF(J299&lt;&gt;"정상","비용 설정 필요",IFERROR(P299/F299,0)))</f>
      </c>
    </row>
    <row r="300">
      <c r="B300" s="7"/>
      <c r="C300" s="5"/>
      <c r="D300" s="5"/>
      <c r="E300" s="8"/>
      <c r="F300" s="8"/>
      <c r="G300" s="8"/>
      <c r="H300" s="8"/>
      <c r="I300" s="6"/>
      <c r="J300" s="10" t="str">
        <f>IF(AND(B300="",C300="",D300=""),"",IF(OR(B300="",D300=""),"비용 설정 필요",IF(COUNTIFS('3_채널별_비용설정'!$C$6:$C$55,D300,'3_채널별_비용설정'!$D$6:$D$55,"&lt;="&amp;B300,'3_채널별_비용설정'!$L$6:$L$55,"&gt;="&amp;B300)=0,"비용 설정 필요",IF(COUNTIFS('3_채널별_비용설정'!$C$6:$C$55,D300,'3_채널별_비용설정'!$D$6:$D$55,"&lt;="&amp;B300,'3_채널별_비용설정'!$L$6:$L$55,"&gt;="&amp;B300)&gt;1,"기간 중복 확인","정상"))))</f>
      </c>
      <c r="K300" s="15" t="str">
        <f>IF(J300="","",IF(J300&lt;&gt;"정상","비용 설정 필요",SUMIFS('3_채널별_비용설정'!$F$6:$F$55,'3_채널별_비용설정'!$C$6:$C$55,D300,'3_채널별_비용설정'!$D$6:$D$55,"&lt;="&amp;B300,'3_채널별_비용설정'!$L$6:$L$55,"&gt;="&amp;B300)))</f>
      </c>
      <c r="L300" s="12" t="str">
        <f>IF(J300="","",IF(J300&lt;&gt;"정상","비용 설정 필요",ROUND(F300*K300,0)))</f>
      </c>
      <c r="M300" s="12" t="str">
        <f>IF(J300="","",IF(J300&lt;&gt;"정상","비용 설정 필요",SUMIFS('3_채널별_비용설정'!$J$6:$J$55,'3_채널별_비용설정'!$C$6:$C$55,D300,'3_채널별_비용설정'!$D$6:$D$55,"&lt;="&amp;B300,'3_채널별_비용설정'!$L$6:$L$55,"&gt;="&amp;B300)))</f>
      </c>
      <c r="N300" s="12" t="str">
        <f>IF(J300="","",IF(J300&lt;&gt;"정상","비용 설정 필요",E300*M300))</f>
      </c>
      <c r="O300" s="12" t="str">
        <f>IF(J300="","",IF(J300&lt;&gt;"정상","비용 설정 필요",G300+L300+N300+H300))</f>
      </c>
      <c r="P300" s="13" t="str">
        <f>IF(J300="","",IF(J300&lt;&gt;"정상","비용 설정 필요",F300-O300))</f>
      </c>
      <c r="Q300" s="14" t="str">
        <f>IF(J300="","",IF(J300&lt;&gt;"정상","비용 설정 필요",IFERROR(P300/F300,0)))</f>
      </c>
    </row>
    <row r="301">
      <c r="B301" s="7"/>
      <c r="C301" s="5"/>
      <c r="D301" s="5"/>
      <c r="E301" s="8"/>
      <c r="F301" s="8"/>
      <c r="G301" s="8"/>
      <c r="H301" s="8"/>
      <c r="I301" s="6"/>
      <c r="J301" s="10" t="str">
        <f>IF(AND(B301="",C301="",D301=""),"",IF(OR(B301="",D301=""),"비용 설정 필요",IF(COUNTIFS('3_채널별_비용설정'!$C$6:$C$55,D301,'3_채널별_비용설정'!$D$6:$D$55,"&lt;="&amp;B301,'3_채널별_비용설정'!$L$6:$L$55,"&gt;="&amp;B301)=0,"비용 설정 필요",IF(COUNTIFS('3_채널별_비용설정'!$C$6:$C$55,D301,'3_채널별_비용설정'!$D$6:$D$55,"&lt;="&amp;B301,'3_채널별_비용설정'!$L$6:$L$55,"&gt;="&amp;B301)&gt;1,"기간 중복 확인","정상"))))</f>
      </c>
      <c r="K301" s="15" t="str">
        <f>IF(J301="","",IF(J301&lt;&gt;"정상","비용 설정 필요",SUMIFS('3_채널별_비용설정'!$F$6:$F$55,'3_채널별_비용설정'!$C$6:$C$55,D301,'3_채널별_비용설정'!$D$6:$D$55,"&lt;="&amp;B301,'3_채널별_비용설정'!$L$6:$L$55,"&gt;="&amp;B301)))</f>
      </c>
      <c r="L301" s="12" t="str">
        <f>IF(J301="","",IF(J301&lt;&gt;"정상","비용 설정 필요",ROUND(F301*K301,0)))</f>
      </c>
      <c r="M301" s="12" t="str">
        <f>IF(J301="","",IF(J301&lt;&gt;"정상","비용 설정 필요",SUMIFS('3_채널별_비용설정'!$J$6:$J$55,'3_채널별_비용설정'!$C$6:$C$55,D301,'3_채널별_비용설정'!$D$6:$D$55,"&lt;="&amp;B301,'3_채널별_비용설정'!$L$6:$L$55,"&gt;="&amp;B301)))</f>
      </c>
      <c r="N301" s="12" t="str">
        <f>IF(J301="","",IF(J301&lt;&gt;"정상","비용 설정 필요",E301*M301))</f>
      </c>
      <c r="O301" s="12" t="str">
        <f>IF(J301="","",IF(J301&lt;&gt;"정상","비용 설정 필요",G301+L301+N301+H301))</f>
      </c>
      <c r="P301" s="13" t="str">
        <f>IF(J301="","",IF(J301&lt;&gt;"정상","비용 설정 필요",F301-O301))</f>
      </c>
      <c r="Q301" s="14" t="str">
        <f>IF(J301="","",IF(J301&lt;&gt;"정상","비용 설정 필요",IFERROR(P301/F301,0)))</f>
      </c>
    </row>
    <row r="302">
      <c r="B302" s="7"/>
      <c r="C302" s="5"/>
      <c r="D302" s="5"/>
      <c r="E302" s="8"/>
      <c r="F302" s="8"/>
      <c r="G302" s="8"/>
      <c r="H302" s="8"/>
      <c r="I302" s="6"/>
      <c r="J302" s="10" t="str">
        <f>IF(AND(B302="",C302="",D302=""),"",IF(OR(B302="",D302=""),"비용 설정 필요",IF(COUNTIFS('3_채널별_비용설정'!$C$6:$C$55,D302,'3_채널별_비용설정'!$D$6:$D$55,"&lt;="&amp;B302,'3_채널별_비용설정'!$L$6:$L$55,"&gt;="&amp;B302)=0,"비용 설정 필요",IF(COUNTIFS('3_채널별_비용설정'!$C$6:$C$55,D302,'3_채널별_비용설정'!$D$6:$D$55,"&lt;="&amp;B302,'3_채널별_비용설정'!$L$6:$L$55,"&gt;="&amp;B302)&gt;1,"기간 중복 확인","정상"))))</f>
      </c>
      <c r="K302" s="15" t="str">
        <f>IF(J302="","",IF(J302&lt;&gt;"정상","비용 설정 필요",SUMIFS('3_채널별_비용설정'!$F$6:$F$55,'3_채널별_비용설정'!$C$6:$C$55,D302,'3_채널별_비용설정'!$D$6:$D$55,"&lt;="&amp;B302,'3_채널별_비용설정'!$L$6:$L$55,"&gt;="&amp;B302)))</f>
      </c>
      <c r="L302" s="12" t="str">
        <f>IF(J302="","",IF(J302&lt;&gt;"정상","비용 설정 필요",ROUND(F302*K302,0)))</f>
      </c>
      <c r="M302" s="12" t="str">
        <f>IF(J302="","",IF(J302&lt;&gt;"정상","비용 설정 필요",SUMIFS('3_채널별_비용설정'!$J$6:$J$55,'3_채널별_비용설정'!$C$6:$C$55,D302,'3_채널별_비용설정'!$D$6:$D$55,"&lt;="&amp;B302,'3_채널별_비용설정'!$L$6:$L$55,"&gt;="&amp;B302)))</f>
      </c>
      <c r="N302" s="12" t="str">
        <f>IF(J302="","",IF(J302&lt;&gt;"정상","비용 설정 필요",E302*M302))</f>
      </c>
      <c r="O302" s="12" t="str">
        <f>IF(J302="","",IF(J302&lt;&gt;"정상","비용 설정 필요",G302+L302+N302+H302))</f>
      </c>
      <c r="P302" s="13" t="str">
        <f>IF(J302="","",IF(J302&lt;&gt;"정상","비용 설정 필요",F302-O302))</f>
      </c>
      <c r="Q302" s="14" t="str">
        <f>IF(J302="","",IF(J302&lt;&gt;"정상","비용 설정 필요",IFERROR(P302/F302,0)))</f>
      </c>
    </row>
    <row r="303">
      <c r="B303" s="7"/>
      <c r="C303" s="5"/>
      <c r="D303" s="5"/>
      <c r="E303" s="8"/>
      <c r="F303" s="8"/>
      <c r="G303" s="8"/>
      <c r="H303" s="8"/>
      <c r="I303" s="6"/>
      <c r="J303" s="10" t="str">
        <f>IF(AND(B303="",C303="",D303=""),"",IF(OR(B303="",D303=""),"비용 설정 필요",IF(COUNTIFS('3_채널별_비용설정'!$C$6:$C$55,D303,'3_채널별_비용설정'!$D$6:$D$55,"&lt;="&amp;B303,'3_채널별_비용설정'!$L$6:$L$55,"&gt;="&amp;B303)=0,"비용 설정 필요",IF(COUNTIFS('3_채널별_비용설정'!$C$6:$C$55,D303,'3_채널별_비용설정'!$D$6:$D$55,"&lt;="&amp;B303,'3_채널별_비용설정'!$L$6:$L$55,"&gt;="&amp;B303)&gt;1,"기간 중복 확인","정상"))))</f>
      </c>
      <c r="K303" s="15" t="str">
        <f>IF(J303="","",IF(J303&lt;&gt;"정상","비용 설정 필요",SUMIFS('3_채널별_비용설정'!$F$6:$F$55,'3_채널별_비용설정'!$C$6:$C$55,D303,'3_채널별_비용설정'!$D$6:$D$55,"&lt;="&amp;B303,'3_채널별_비용설정'!$L$6:$L$55,"&gt;="&amp;B303)))</f>
      </c>
      <c r="L303" s="12" t="str">
        <f>IF(J303="","",IF(J303&lt;&gt;"정상","비용 설정 필요",ROUND(F303*K303,0)))</f>
      </c>
      <c r="M303" s="12" t="str">
        <f>IF(J303="","",IF(J303&lt;&gt;"정상","비용 설정 필요",SUMIFS('3_채널별_비용설정'!$J$6:$J$55,'3_채널별_비용설정'!$C$6:$C$55,D303,'3_채널별_비용설정'!$D$6:$D$55,"&lt;="&amp;B303,'3_채널별_비용설정'!$L$6:$L$55,"&gt;="&amp;B303)))</f>
      </c>
      <c r="N303" s="12" t="str">
        <f>IF(J303="","",IF(J303&lt;&gt;"정상","비용 설정 필요",E303*M303))</f>
      </c>
      <c r="O303" s="12" t="str">
        <f>IF(J303="","",IF(J303&lt;&gt;"정상","비용 설정 필요",G303+L303+N303+H303))</f>
      </c>
      <c r="P303" s="13" t="str">
        <f>IF(J303="","",IF(J303&lt;&gt;"정상","비용 설정 필요",F303-O303))</f>
      </c>
      <c r="Q303" s="14" t="str">
        <f>IF(J303="","",IF(J303&lt;&gt;"정상","비용 설정 필요",IFERROR(P303/F303,0)))</f>
      </c>
    </row>
    <row r="304">
      <c r="B304" s="7"/>
      <c r="C304" s="5"/>
      <c r="D304" s="5"/>
      <c r="E304" s="8"/>
      <c r="F304" s="8"/>
      <c r="G304" s="8"/>
      <c r="H304" s="8"/>
      <c r="I304" s="6"/>
      <c r="J304" s="10" t="str">
        <f>IF(AND(B304="",C304="",D304=""),"",IF(OR(B304="",D304=""),"비용 설정 필요",IF(COUNTIFS('3_채널별_비용설정'!$C$6:$C$55,D304,'3_채널별_비용설정'!$D$6:$D$55,"&lt;="&amp;B304,'3_채널별_비용설정'!$L$6:$L$55,"&gt;="&amp;B304)=0,"비용 설정 필요",IF(COUNTIFS('3_채널별_비용설정'!$C$6:$C$55,D304,'3_채널별_비용설정'!$D$6:$D$55,"&lt;="&amp;B304,'3_채널별_비용설정'!$L$6:$L$55,"&gt;="&amp;B304)&gt;1,"기간 중복 확인","정상"))))</f>
      </c>
      <c r="K304" s="15" t="str">
        <f>IF(J304="","",IF(J304&lt;&gt;"정상","비용 설정 필요",SUMIFS('3_채널별_비용설정'!$F$6:$F$55,'3_채널별_비용설정'!$C$6:$C$55,D304,'3_채널별_비용설정'!$D$6:$D$55,"&lt;="&amp;B304,'3_채널별_비용설정'!$L$6:$L$55,"&gt;="&amp;B304)))</f>
      </c>
      <c r="L304" s="12" t="str">
        <f>IF(J304="","",IF(J304&lt;&gt;"정상","비용 설정 필요",ROUND(F304*K304,0)))</f>
      </c>
      <c r="M304" s="12" t="str">
        <f>IF(J304="","",IF(J304&lt;&gt;"정상","비용 설정 필요",SUMIFS('3_채널별_비용설정'!$J$6:$J$55,'3_채널별_비용설정'!$C$6:$C$55,D304,'3_채널별_비용설정'!$D$6:$D$55,"&lt;="&amp;B304,'3_채널별_비용설정'!$L$6:$L$55,"&gt;="&amp;B304)))</f>
      </c>
      <c r="N304" s="12" t="str">
        <f>IF(J304="","",IF(J304&lt;&gt;"정상","비용 설정 필요",E304*M304))</f>
      </c>
      <c r="O304" s="12" t="str">
        <f>IF(J304="","",IF(J304&lt;&gt;"정상","비용 설정 필요",G304+L304+N304+H304))</f>
      </c>
      <c r="P304" s="13" t="str">
        <f>IF(J304="","",IF(J304&lt;&gt;"정상","비용 설정 필요",F304-O304))</f>
      </c>
      <c r="Q304" s="14" t="str">
        <f>IF(J304="","",IF(J304&lt;&gt;"정상","비용 설정 필요",IFERROR(P304/F304,0)))</f>
      </c>
    </row>
    <row r="305">
      <c r="B305" s="7"/>
      <c r="C305" s="5"/>
      <c r="D305" s="5"/>
      <c r="E305" s="8"/>
      <c r="F305" s="8"/>
      <c r="G305" s="8"/>
      <c r="H305" s="8"/>
      <c r="I305" s="6"/>
      <c r="J305" s="10" t="str">
        <f>IF(AND(B305="",C305="",D305=""),"",IF(OR(B305="",D305=""),"비용 설정 필요",IF(COUNTIFS('3_채널별_비용설정'!$C$6:$C$55,D305,'3_채널별_비용설정'!$D$6:$D$55,"&lt;="&amp;B305,'3_채널별_비용설정'!$L$6:$L$55,"&gt;="&amp;B305)=0,"비용 설정 필요",IF(COUNTIFS('3_채널별_비용설정'!$C$6:$C$55,D305,'3_채널별_비용설정'!$D$6:$D$55,"&lt;="&amp;B305,'3_채널별_비용설정'!$L$6:$L$55,"&gt;="&amp;B305)&gt;1,"기간 중복 확인","정상"))))</f>
      </c>
      <c r="K305" s="15" t="str">
        <f>IF(J305="","",IF(J305&lt;&gt;"정상","비용 설정 필요",SUMIFS('3_채널별_비용설정'!$F$6:$F$55,'3_채널별_비용설정'!$C$6:$C$55,D305,'3_채널별_비용설정'!$D$6:$D$55,"&lt;="&amp;B305,'3_채널별_비용설정'!$L$6:$L$55,"&gt;="&amp;B305)))</f>
      </c>
      <c r="L305" s="12" t="str">
        <f>IF(J305="","",IF(J305&lt;&gt;"정상","비용 설정 필요",ROUND(F305*K305,0)))</f>
      </c>
      <c r="M305" s="12" t="str">
        <f>IF(J305="","",IF(J305&lt;&gt;"정상","비용 설정 필요",SUMIFS('3_채널별_비용설정'!$J$6:$J$55,'3_채널별_비용설정'!$C$6:$C$55,D305,'3_채널별_비용설정'!$D$6:$D$55,"&lt;="&amp;B305,'3_채널별_비용설정'!$L$6:$L$55,"&gt;="&amp;B305)))</f>
      </c>
      <c r="N305" s="12" t="str">
        <f>IF(J305="","",IF(J305&lt;&gt;"정상","비용 설정 필요",E305*M305))</f>
      </c>
      <c r="O305" s="12" t="str">
        <f>IF(J305="","",IF(J305&lt;&gt;"정상","비용 설정 필요",G305+L305+N305+H305))</f>
      </c>
      <c r="P305" s="13" t="str">
        <f>IF(J305="","",IF(J305&lt;&gt;"정상","비용 설정 필요",F305-O305))</f>
      </c>
      <c r="Q305" s="14" t="str">
        <f>IF(J305="","",IF(J305&lt;&gt;"정상","비용 설정 필요",IFERROR(P305/F305,0)))</f>
      </c>
    </row>
  </sheetData>
  <mergeCells count="2">
    <mergeCell ref="B2:I2"/>
    <mergeCell ref="B3:Q3"/>
  </mergeCells>
  <conditionalFormatting sqref="P6:P505">
    <cfRule type="cellIs" dxfId="0" priority="1" operator="lessThan">
      <formula>0</formula>
    </cfRule>
  </conditionalFormatting>
  <conditionalFormatting sqref="J6:Q505">
    <cfRule type="containsText" dxfId="1" priority="2" operator="containsText" text="비용 설정 필요">
      <formula>NOT(ISERROR(SEARCH("비용 설정 필요",J6)))</formula>
    </cfRule>
  </conditionalFormatting>
  <dataValidations count="3">
    <dataValidation type="list" allowBlank="1" showInputMessage="1" promptTitle="거래처 선택" prompt="목록에서 거래처를 선택하세요. 새 거래처는 [6_사용설명서_및_기준관리] 시트에 추가하면 자동 반영됩니다." showErrorMessage="1" sqref="C6:C505">
      <formula1>'6_사용설명서_및_기준관리'!$D$6:$D$35</formula1>
    </dataValidation>
    <dataValidation type="list" allowBlank="1" showInputMessage="1" promptTitle="판매채널 선택" prompt="목록에서 판매채널을 선택하세요." showErrorMessage="1" sqref="D6:D505">
      <formula1>'6_사용설명서_및_기준관리'!$B$6:$B$25</formula1>
    </dataValidation>
    <dataValidation type="whole" operator="greaterThanOrEqual" allowBlank="1" showInputMessage="1" promptTitle="주문건수 입력 (0 이상 정수)" prompt="하루 총 주문건수를 0 이상의 정수로 입력하세요." showErrorMessage="1" errorStyle="stop" errorTitle="입력 오류 (주문건수)" error="주문건수는 0 이상의 정수(자연수 또는 0)만 입력할 수 있습니다." sqref="E6:E505">
      <formula1>0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5" topLeftCell="A6" activePane="bottomLeft" state="frozen"/>
    </sheetView>
  </sheetViews>
  <sheetFormatPr defaultRowHeight="20"/>
  <cols>
    <col min="1" max="1" width="3" customWidth="1"/>
    <col min="2" max="2" width="7" customWidth="1"/>
    <col min="3" max="3" width="16" customWidth="1"/>
    <col min="4" max="5" width="15" customWidth="1"/>
    <col min="6" max="6" width="16" customWidth="1"/>
    <col min="7" max="10" width="16" customWidth="1"/>
    <col min="11" max="11" width="18" customWidth="1"/>
    <col min="12" max="12" width="15" customWidth="1"/>
    <col min="13" max="13" width="42" customWidth="1"/>
  </cols>
  <sheetData>
    <row r="2" ht="28" customHeight="1">
      <c r="B2" s="1" t="inlineStr">
        <is>
          <t>⚙️ 판매채널·기간별 수수료 및 건당 비용 설정 시트</t>
        </is>
      </c>
    </row>
    <row r="3" ht="38" customHeight="1">
      <c r="B3" s="22" t="inlineStr">
        <is>
          <t>💡 [기간별 이력 관리 규칙] ① 비용이나 수수료가 바뀌면 기존 행을 덮어쓰지 말고, 기존 행의 [적용 종료일]을 입력한 뒤 아래 새 행에 [새로운 적용 시작일]로 추가하세요.
② [적용 종료일]을 비워두면 시작일부터 기한 제한 없이 계속 적용됩니다. 과거 매출에는 당시 적용되던 비용이 그대로 유지됩니다.
③ 여기서 설정한 배송비·포장비는 일일 매출 시트에서 주문건수에 곱해 자동 계산되므로, 일일 매출 시트의 [추가 비용]에 중복 입력하지 마세요.</t>
        </is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5" ht="28" customHeight="1">
      <c r="B5" s="4" t="inlineStr">
        <is>
          <t>No</t>
        </is>
      </c>
      <c r="C5" s="3" t="inlineStr">
        <is>
          <t>판매채널
(드롭다운)</t>
        </is>
      </c>
      <c r="D5" s="3" t="inlineStr">
        <is>
          <t>적용 시작일
(포함 &gt;=)</t>
        </is>
      </c>
      <c r="E5" s="3" t="inlineStr">
        <is>
          <t>적용 종료일
(비워두면 계속)</t>
        </is>
      </c>
      <c r="F5" s="3" t="inlineStr">
        <is>
          <t>매출액 기준
수수료율 (%)</t>
        </is>
      </c>
      <c r="G5" s="3" t="inlineStr">
        <is>
          <t>주문 1건당
배송비 (원)</t>
        </is>
      </c>
      <c r="H5" s="3" t="inlineStr">
        <is>
          <t>주문 1건당
포장비 (원)</t>
        </is>
      </c>
      <c r="I5" s="3" t="inlineStr">
        <is>
          <t>주문 1건당
기타 비용 (원)</t>
        </is>
      </c>
      <c r="J5" s="4" t="inlineStr">
        <is>
          <t>주문 1건당
비용 합계 (자동)</t>
        </is>
      </c>
      <c r="K5" s="4" t="inlineStr">
        <is>
          <t>적용 기간
중복/오류 검증</t>
        </is>
      </c>
      <c r="L5" s="4" t="inlineStr">
        <is>
          <t>종료 기준일
(수식 자동처리)</t>
        </is>
      </c>
      <c r="M5" s="3" t="inlineStr">
        <is>
          <t>비고 (변경 사유 및 채널별 수수료 특이사항 메모)</t>
        </is>
      </c>
    </row>
    <row r="6">
      <c r="B6" s="10">
        <f>IF(C6="","",ROW()-5)</f>
        <v>1</v>
      </c>
      <c r="C6" s="5" t="inlineStr">
        <is>
          <t>농라</t>
        </is>
      </c>
      <c r="D6" s="7">
        <v>46023</v>
      </c>
      <c r="E6" s="7"/>
      <c r="F6" s="9">
        <v>0</v>
      </c>
      <c r="G6" s="8">
        <v>3500</v>
      </c>
      <c r="H6" s="8">
        <v>800</v>
      </c>
      <c r="I6" s="8">
        <v>200</v>
      </c>
      <c r="J6" s="13">
        <f>IF(C6="","",SUM(G6:I6))</f>
        <v>4500</v>
      </c>
      <c r="K6" s="10" t="str">
        <f>IF(C6="","",IF(D6&gt;L6,"⚠️ 시작일&gt;종료일 오류",IF(COUNTIFS($C$6:$C$55,C6,$D$6:$D$55,"&lt;="&amp;L6,$L$6:$L$55,"&gt;="&amp;D6)&gt;1,"⚠️ 기간 중복","정상")))</f>
        <v>정상</v>
      </c>
      <c r="L6" s="11">
        <f>IF(C6="","",IF(E6="",DATE(2099,12,31),E6))</f>
        <v>73050</v>
      </c>
      <c r="M6" s="6" t="inlineStr">
        <is>
          <t>[예시] 농라 카페 직거래 (수수료 0%, 택배·포장비 적용)</t>
        </is>
      </c>
    </row>
    <row r="7">
      <c r="B7" s="10">
        <f>IF(C7="","",ROW()-5)</f>
        <v>2</v>
      </c>
      <c r="C7" s="5" t="inlineStr">
        <is>
          <t>스마트스토어</t>
        </is>
      </c>
      <c r="D7" s="7">
        <v>46023</v>
      </c>
      <c r="E7" s="7">
        <v>46127</v>
      </c>
      <c r="F7" s="9">
        <v>0.055</v>
      </c>
      <c r="G7" s="8">
        <v>3000</v>
      </c>
      <c r="H7" s="8">
        <v>1000</v>
      </c>
      <c r="I7" s="8">
        <v>110</v>
      </c>
      <c r="J7" s="13">
        <f>IF(C7="","",SUM(G7:I7))</f>
        <v>4110</v>
      </c>
      <c r="K7" s="10" t="str">
        <f>IF(C7="","",IF(D7&gt;L7,"⚠️ 시작일&gt;종료일 오류",IF(COUNTIFS($C$6:$C$55,C7,$D$6:$D$55,"&lt;="&amp;L7,$L$6:$L$55,"&gt;="&amp;D7)&gt;1,"⚠️ 기간 중복","정상")))</f>
        <v>정상</v>
      </c>
      <c r="L7" s="11">
        <f>IF(C7="","",IF(E7="",DATE(2099,12,31),E7))</f>
        <v>46127</v>
      </c>
      <c r="M7" s="6" t="inlineStr">
        <is>
          <t>[예시] 4/15까지 적용 단가 (기타비용에 배송비수수료 110원 반영)</t>
        </is>
      </c>
    </row>
    <row r="8">
      <c r="B8" s="10">
        <f>IF(C8="","",ROW()-5)</f>
        <v>3</v>
      </c>
      <c r="C8" s="5" t="inlineStr">
        <is>
          <t>스마트스토어</t>
        </is>
      </c>
      <c r="D8" s="7">
        <v>46128</v>
      </c>
      <c r="E8" s="7"/>
      <c r="F8" s="9">
        <v>0.058</v>
      </c>
      <c r="G8" s="8">
        <v>3500</v>
      </c>
      <c r="H8" s="8">
        <v>1200</v>
      </c>
      <c r="I8" s="8">
        <v>130</v>
      </c>
      <c r="J8" s="13">
        <f>IF(C8="","",SUM(G8:I8))</f>
        <v>4830</v>
      </c>
      <c r="K8" s="10" t="str">
        <f>IF(C8="","",IF(D8&gt;L8,"⚠️ 시작일&gt;종료일 오류",IF(COUNTIFS($C$6:$C$55,C8,$D$6:$D$55,"&lt;="&amp;L8,$L$6:$L$55,"&gt;="&amp;D8)&gt;1,"⚠️ 기간 중복","정상")))</f>
        <v>정상</v>
      </c>
      <c r="L8" s="11">
        <f>IF(C8="","",IF(E8="",DATE(2099,12,31),E8))</f>
        <v>73050</v>
      </c>
      <c r="M8" s="6" t="inlineStr">
        <is>
          <t>[예시] 4/16부터 택배·포장비 인상 및 수수료율 변경 적용</t>
        </is>
      </c>
    </row>
    <row r="9">
      <c r="B9" s="10">
        <f>IF(C9="","",ROW()-5)</f>
        <v>4</v>
      </c>
      <c r="C9" s="5" t="inlineStr">
        <is>
          <t>카톡</t>
        </is>
      </c>
      <c r="D9" s="7">
        <v>46023</v>
      </c>
      <c r="E9" s="7"/>
      <c r="F9" s="9">
        <v>0.033</v>
      </c>
      <c r="G9" s="8">
        <v>3500</v>
      </c>
      <c r="H9" s="8">
        <v>900</v>
      </c>
      <c r="I9" s="8">
        <v>100</v>
      </c>
      <c r="J9" s="13">
        <f>IF(C9="","",SUM(G9:I9))</f>
        <v>4500</v>
      </c>
      <c r="K9" s="10" t="str">
        <f>IF(C9="","",IF(D9&gt;L9,"⚠️ 시작일&gt;종료일 오류",IF(COUNTIFS($C$6:$C$55,C9,$D$6:$D$55,"&lt;="&amp;L9,$L$6:$L$55,"&gt;="&amp;D9)&gt;1,"⚠️ 기간 중복","정상")))</f>
        <v>정상</v>
      </c>
      <c r="L9" s="11">
        <f>IF(C9="","",IF(E9="",DATE(2099,12,31),E9))</f>
        <v>73050</v>
      </c>
      <c r="M9" s="6" t="inlineStr">
        <is>
          <t>[예시] 카카오톡 스토어/톡채널 주문</t>
        </is>
      </c>
    </row>
    <row r="10">
      <c r="B10" s="10">
        <f>IF(C10="","",ROW()-5)</f>
        <v>5</v>
      </c>
      <c r="C10" s="5" t="inlineStr">
        <is>
          <t>고흥몰</t>
        </is>
      </c>
      <c r="D10" s="7">
        <v>46023</v>
      </c>
      <c r="E10" s="7"/>
      <c r="F10" s="9">
        <v>0.04</v>
      </c>
      <c r="G10" s="8">
        <v>3000</v>
      </c>
      <c r="H10" s="8">
        <v>1000</v>
      </c>
      <c r="I10" s="8">
        <v>0</v>
      </c>
      <c r="J10" s="13">
        <f>IF(C10="","",SUM(G10:I10))</f>
        <v>4000</v>
      </c>
      <c r="K10" s="10" t="str">
        <f>IF(C10="","",IF(D10&gt;L10,"⚠️ 시작일&gt;종료일 오류",IF(COUNTIFS($C$6:$C$55,C10,$D$6:$D$55,"&lt;="&amp;L10,$L$6:$L$55,"&gt;="&amp;D10)&gt;1,"⚠️ 기간 중복","정상")))</f>
        <v>정상</v>
      </c>
      <c r="L10" s="11">
        <f>IF(C10="","",IF(E10="",DATE(2099,12,31),E10))</f>
        <v>73050</v>
      </c>
      <c r="M10" s="6" t="inlineStr">
        <is>
          <t>[예시] 고흥몰 입점 특산물 판매</t>
        </is>
      </c>
    </row>
    <row r="11">
      <c r="B11" s="10">
        <f>IF(C11="","",ROW()-5)</f>
        <v>6</v>
      </c>
      <c r="C11" s="5" t="inlineStr">
        <is>
          <t>남도장터</t>
        </is>
      </c>
      <c r="D11" s="7">
        <v>46023</v>
      </c>
      <c r="E11" s="7"/>
      <c r="F11" s="9">
        <v>0.05</v>
      </c>
      <c r="G11" s="8">
        <v>3200</v>
      </c>
      <c r="H11" s="8">
        <v>1000</v>
      </c>
      <c r="I11" s="8">
        <v>0</v>
      </c>
      <c r="J11" s="13">
        <f>IF(C11="","",SUM(G11:I11))</f>
        <v>4200</v>
      </c>
      <c r="K11" s="10" t="str">
        <f>IF(C11="","",IF(D11&gt;L11,"⚠️ 시작일&gt;종료일 오류",IF(COUNTIFS($C$6:$C$55,C11,$D$6:$D$55,"&lt;="&amp;L11,$L$6:$L$55,"&gt;="&amp;D11)&gt;1,"⚠️ 기간 중복","정상")))</f>
        <v>정상</v>
      </c>
      <c r="L11" s="11">
        <f>IF(C11="","",IF(E11="",DATE(2099,12,31),E11))</f>
        <v>73050</v>
      </c>
      <c r="M11" s="6" t="inlineStr">
        <is>
          <t>[예시] 남도장터 온라인몰 판매</t>
        </is>
      </c>
    </row>
    <row r="12">
      <c r="B12" s="10">
        <f>IF(C12="","",ROW()-5)</f>
        <v>7</v>
      </c>
      <c r="C12" s="5" t="inlineStr">
        <is>
          <t>로컬푸드</t>
        </is>
      </c>
      <c r="D12" s="7">
        <v>46023</v>
      </c>
      <c r="E12" s="7"/>
      <c r="F12" s="9">
        <v>0.1</v>
      </c>
      <c r="G12" s="8">
        <v>0</v>
      </c>
      <c r="H12" s="8">
        <v>500</v>
      </c>
      <c r="I12" s="8">
        <v>200</v>
      </c>
      <c r="J12" s="13">
        <f>IF(C12="","",SUM(G12:I12))</f>
        <v>700</v>
      </c>
      <c r="K12" s="10" t="str">
        <f>IF(C12="","",IF(D12&gt;L12,"⚠️ 시작일&gt;종료일 오류",IF(COUNTIFS($C$6:$C$55,C12,$D$6:$D$55,"&lt;="&amp;L12,$L$6:$L$55,"&gt;="&amp;D12)&gt;1,"⚠️ 기간 중복","정상")))</f>
        <v>정상</v>
      </c>
      <c r="L12" s="11">
        <f>IF(C12="","",IF(E12="",DATE(2099,12,31),E12))</f>
        <v>73050</v>
      </c>
      <c r="M12" s="6" t="inlineStr">
        <is>
          <t>[예시] 로컬푸드 직매장 납품 (개별 택배비 없음, 소포장/라벨비만 발생)</t>
        </is>
      </c>
    </row>
    <row r="13">
      <c r="B13" s="10">
        <f>IF(C13="","",ROW()-5)</f>
        <v>8</v>
      </c>
      <c r="C13" s="5" t="inlineStr">
        <is>
          <t>기타</t>
        </is>
      </c>
      <c r="D13" s="7">
        <v>46023</v>
      </c>
      <c r="E13" s="7"/>
      <c r="F13" s="9">
        <v>0.03</v>
      </c>
      <c r="G13" s="8">
        <v>3500</v>
      </c>
      <c r="H13" s="8">
        <v>800</v>
      </c>
      <c r="I13" s="8">
        <v>0</v>
      </c>
      <c r="J13" s="13">
        <f>IF(C13="","",SUM(G13:I13))</f>
        <v>4300</v>
      </c>
      <c r="K13" s="10" t="str">
        <f>IF(C13="","",IF(D13&gt;L13,"⚠️ 시작일&gt;종료일 오류",IF(COUNTIFS($C$6:$C$55,C13,$D$6:$D$55,"&lt;="&amp;L13,$L$6:$L$55,"&gt;="&amp;D13)&gt;1,"⚠️ 기간 중복","정상")))</f>
        <v>정상</v>
      </c>
      <c r="L13" s="11">
        <f>IF(C13="","",IF(E13="",DATE(2099,12,31),E13))</f>
        <v>73050</v>
      </c>
      <c r="M13" s="6" t="inlineStr">
        <is>
          <t>[예시] 전화주문/외부 제휴몰 기본 단가</t>
        </is>
      </c>
    </row>
    <row r="14">
      <c r="B14" s="10" t="str">
        <f>IF(C14="","",ROW()-5)</f>
      </c>
      <c r="C14" s="5"/>
      <c r="D14" s="7"/>
      <c r="E14" s="7"/>
      <c r="F14" s="9"/>
      <c r="G14" s="8"/>
      <c r="H14" s="8"/>
      <c r="I14" s="8"/>
      <c r="J14" s="13" t="str">
        <f>IF(C14="","",SUM(G14:I14))</f>
      </c>
      <c r="K14" s="10" t="str">
        <f>IF(C14="","",IF(D14&gt;L14,"⚠️ 시작일&gt;종료일 오류",IF(COUNTIFS($C$6:$C$55,C14,$D$6:$D$55,"&lt;="&amp;L14,$L$6:$L$55,"&gt;="&amp;D14)&gt;1,"⚠️ 기간 중복","정상")))</f>
      </c>
      <c r="L14" s="11" t="str">
        <f>IF(C14="","",IF(E14="",DATE(2099,12,31),E14))</f>
      </c>
      <c r="M14" s="6"/>
    </row>
    <row r="15">
      <c r="B15" s="10" t="str">
        <f>IF(C15="","",ROW()-5)</f>
      </c>
      <c r="C15" s="5"/>
      <c r="D15" s="7"/>
      <c r="E15" s="7"/>
      <c r="F15" s="9"/>
      <c r="G15" s="8"/>
      <c r="H15" s="8"/>
      <c r="I15" s="8"/>
      <c r="J15" s="13" t="str">
        <f>IF(C15="","",SUM(G15:I15))</f>
      </c>
      <c r="K15" s="10" t="str">
        <f>IF(C15="","",IF(D15&gt;L15,"⚠️ 시작일&gt;종료일 오류",IF(COUNTIFS($C$6:$C$55,C15,$D$6:$D$55,"&lt;="&amp;L15,$L$6:$L$55,"&gt;="&amp;D15)&gt;1,"⚠️ 기간 중복","정상")))</f>
      </c>
      <c r="L15" s="11" t="str">
        <f>IF(C15="","",IF(E15="",DATE(2099,12,31),E15))</f>
      </c>
      <c r="M15" s="6"/>
    </row>
    <row r="16">
      <c r="B16" s="10" t="str">
        <f>IF(C16="","",ROW()-5)</f>
      </c>
      <c r="C16" s="5"/>
      <c r="D16" s="7"/>
      <c r="E16" s="7"/>
      <c r="F16" s="9"/>
      <c r="G16" s="8"/>
      <c r="H16" s="8"/>
      <c r="I16" s="8"/>
      <c r="J16" s="13" t="str">
        <f>IF(C16="","",SUM(G16:I16))</f>
      </c>
      <c r="K16" s="10" t="str">
        <f>IF(C16="","",IF(D16&gt;L16,"⚠️ 시작일&gt;종료일 오류",IF(COUNTIFS($C$6:$C$55,C16,$D$6:$D$55,"&lt;="&amp;L16,$L$6:$L$55,"&gt;="&amp;D16)&gt;1,"⚠️ 기간 중복","정상")))</f>
      </c>
      <c r="L16" s="11" t="str">
        <f>IF(C16="","",IF(E16="",DATE(2099,12,31),E16))</f>
      </c>
      <c r="M16" s="6"/>
    </row>
    <row r="17">
      <c r="B17" s="10" t="str">
        <f>IF(C17="","",ROW()-5)</f>
      </c>
      <c r="C17" s="5"/>
      <c r="D17" s="7"/>
      <c r="E17" s="7"/>
      <c r="F17" s="9"/>
      <c r="G17" s="8"/>
      <c r="H17" s="8"/>
      <c r="I17" s="8"/>
      <c r="J17" s="13" t="str">
        <f>IF(C17="","",SUM(G17:I17))</f>
      </c>
      <c r="K17" s="10" t="str">
        <f>IF(C17="","",IF(D17&gt;L17,"⚠️ 시작일&gt;종료일 오류",IF(COUNTIFS($C$6:$C$55,C17,$D$6:$D$55,"&lt;="&amp;L17,$L$6:$L$55,"&gt;="&amp;D17)&gt;1,"⚠️ 기간 중복","정상")))</f>
      </c>
      <c r="L17" s="11" t="str">
        <f>IF(C17="","",IF(E17="",DATE(2099,12,31),E17))</f>
      </c>
      <c r="M17" s="6"/>
    </row>
    <row r="18">
      <c r="B18" s="10" t="str">
        <f>IF(C18="","",ROW()-5)</f>
      </c>
      <c r="C18" s="5"/>
      <c r="D18" s="7"/>
      <c r="E18" s="7"/>
      <c r="F18" s="9"/>
      <c r="G18" s="8"/>
      <c r="H18" s="8"/>
      <c r="I18" s="8"/>
      <c r="J18" s="13" t="str">
        <f>IF(C18="","",SUM(G18:I18))</f>
      </c>
      <c r="K18" s="10" t="str">
        <f>IF(C18="","",IF(D18&gt;L18,"⚠️ 시작일&gt;종료일 오류",IF(COUNTIFS($C$6:$C$55,C18,$D$6:$D$55,"&lt;="&amp;L18,$L$6:$L$55,"&gt;="&amp;D18)&gt;1,"⚠️ 기간 중복","정상")))</f>
      </c>
      <c r="L18" s="11" t="str">
        <f>IF(C18="","",IF(E18="",DATE(2099,12,31),E18))</f>
      </c>
      <c r="M18" s="6"/>
    </row>
    <row r="19">
      <c r="B19" s="10" t="str">
        <f>IF(C19="","",ROW()-5)</f>
      </c>
      <c r="C19" s="5"/>
      <c r="D19" s="7"/>
      <c r="E19" s="7"/>
      <c r="F19" s="9"/>
      <c r="G19" s="8"/>
      <c r="H19" s="8"/>
      <c r="I19" s="8"/>
      <c r="J19" s="13" t="str">
        <f>IF(C19="","",SUM(G19:I19))</f>
      </c>
      <c r="K19" s="10" t="str">
        <f>IF(C19="","",IF(D19&gt;L19,"⚠️ 시작일&gt;종료일 오류",IF(COUNTIFS($C$6:$C$55,C19,$D$6:$D$55,"&lt;="&amp;L19,$L$6:$L$55,"&gt;="&amp;D19)&gt;1,"⚠️ 기간 중복","정상")))</f>
      </c>
      <c r="L19" s="11" t="str">
        <f>IF(C19="","",IF(E19="",DATE(2099,12,31),E19))</f>
      </c>
      <c r="M19" s="6"/>
    </row>
    <row r="20">
      <c r="B20" s="10" t="str">
        <f>IF(C20="","",ROW()-5)</f>
      </c>
      <c r="C20" s="5"/>
      <c r="D20" s="7"/>
      <c r="E20" s="7"/>
      <c r="F20" s="9"/>
      <c r="G20" s="8"/>
      <c r="H20" s="8"/>
      <c r="I20" s="8"/>
      <c r="J20" s="13" t="str">
        <f>IF(C20="","",SUM(G20:I20))</f>
      </c>
      <c r="K20" s="10" t="str">
        <f>IF(C20="","",IF(D20&gt;L20,"⚠️ 시작일&gt;종료일 오류",IF(COUNTIFS($C$6:$C$55,C20,$D$6:$D$55,"&lt;="&amp;L20,$L$6:$L$55,"&gt;="&amp;D20)&gt;1,"⚠️ 기간 중복","정상")))</f>
      </c>
      <c r="L20" s="11" t="str">
        <f>IF(C20="","",IF(E20="",DATE(2099,12,31),E20))</f>
      </c>
      <c r="M20" s="6"/>
    </row>
    <row r="21">
      <c r="B21" s="10" t="str">
        <f>IF(C21="","",ROW()-5)</f>
      </c>
      <c r="C21" s="5"/>
      <c r="D21" s="7"/>
      <c r="E21" s="7"/>
      <c r="F21" s="9"/>
      <c r="G21" s="8"/>
      <c r="H21" s="8"/>
      <c r="I21" s="8"/>
      <c r="J21" s="13" t="str">
        <f>IF(C21="","",SUM(G21:I21))</f>
      </c>
      <c r="K21" s="10" t="str">
        <f>IF(C21="","",IF(D21&gt;L21,"⚠️ 시작일&gt;종료일 오류",IF(COUNTIFS($C$6:$C$55,C21,$D$6:$D$55,"&lt;="&amp;L21,$L$6:$L$55,"&gt;="&amp;D21)&gt;1,"⚠️ 기간 중복","정상")))</f>
      </c>
      <c r="L21" s="11" t="str">
        <f>IF(C21="","",IF(E21="",DATE(2099,12,31),E21))</f>
      </c>
      <c r="M21" s="6"/>
    </row>
    <row r="22">
      <c r="B22" s="10" t="str">
        <f>IF(C22="","",ROW()-5)</f>
      </c>
      <c r="C22" s="5"/>
      <c r="D22" s="7"/>
      <c r="E22" s="7"/>
      <c r="F22" s="9"/>
      <c r="G22" s="8"/>
      <c r="H22" s="8"/>
      <c r="I22" s="8"/>
      <c r="J22" s="13" t="str">
        <f>IF(C22="","",SUM(G22:I22))</f>
      </c>
      <c r="K22" s="10" t="str">
        <f>IF(C22="","",IF(D22&gt;L22,"⚠️ 시작일&gt;종료일 오류",IF(COUNTIFS($C$6:$C$55,C22,$D$6:$D$55,"&lt;="&amp;L22,$L$6:$L$55,"&gt;="&amp;D22)&gt;1,"⚠️ 기간 중복","정상")))</f>
      </c>
      <c r="L22" s="11" t="str">
        <f>IF(C22="","",IF(E22="",DATE(2099,12,31),E22))</f>
      </c>
      <c r="M22" s="6"/>
    </row>
    <row r="23">
      <c r="B23" s="10" t="str">
        <f>IF(C23="","",ROW()-5)</f>
      </c>
      <c r="C23" s="5"/>
      <c r="D23" s="7"/>
      <c r="E23" s="7"/>
      <c r="F23" s="9"/>
      <c r="G23" s="8"/>
      <c r="H23" s="8"/>
      <c r="I23" s="8"/>
      <c r="J23" s="13" t="str">
        <f>IF(C23="","",SUM(G23:I23))</f>
      </c>
      <c r="K23" s="10" t="str">
        <f>IF(C23="","",IF(D23&gt;L23,"⚠️ 시작일&gt;종료일 오류",IF(COUNTIFS($C$6:$C$55,C23,$D$6:$D$55,"&lt;="&amp;L23,$L$6:$L$55,"&gt;="&amp;D23)&gt;1,"⚠️ 기간 중복","정상")))</f>
      </c>
      <c r="L23" s="11" t="str">
        <f>IF(C23="","",IF(E23="",DATE(2099,12,31),E23))</f>
      </c>
      <c r="M23" s="6"/>
    </row>
    <row r="24">
      <c r="B24" s="10" t="str">
        <f>IF(C24="","",ROW()-5)</f>
      </c>
      <c r="C24" s="5"/>
      <c r="D24" s="7"/>
      <c r="E24" s="7"/>
      <c r="F24" s="9"/>
      <c r="G24" s="8"/>
      <c r="H24" s="8"/>
      <c r="I24" s="8"/>
      <c r="J24" s="13" t="str">
        <f>IF(C24="","",SUM(G24:I24))</f>
      </c>
      <c r="K24" s="10" t="str">
        <f>IF(C24="","",IF(D24&gt;L24,"⚠️ 시작일&gt;종료일 오류",IF(COUNTIFS($C$6:$C$55,C24,$D$6:$D$55,"&lt;="&amp;L24,$L$6:$L$55,"&gt;="&amp;D24)&gt;1,"⚠️ 기간 중복","정상")))</f>
      </c>
      <c r="L24" s="11" t="str">
        <f>IF(C24="","",IF(E24="",DATE(2099,12,31),E24))</f>
      </c>
      <c r="M24" s="6"/>
    </row>
    <row r="25">
      <c r="B25" s="10" t="str">
        <f>IF(C25="","",ROW()-5)</f>
      </c>
      <c r="C25" s="5"/>
      <c r="D25" s="7"/>
      <c r="E25" s="7"/>
      <c r="F25" s="9"/>
      <c r="G25" s="8"/>
      <c r="H25" s="8"/>
      <c r="I25" s="8"/>
      <c r="J25" s="13" t="str">
        <f>IF(C25="","",SUM(G25:I25))</f>
      </c>
      <c r="K25" s="10" t="str">
        <f>IF(C25="","",IF(D25&gt;L25,"⚠️ 시작일&gt;종료일 오류",IF(COUNTIFS($C$6:$C$55,C25,$D$6:$D$55,"&lt;="&amp;L25,$L$6:$L$55,"&gt;="&amp;D25)&gt;1,"⚠️ 기간 중복","정상")))</f>
      </c>
      <c r="L25" s="11" t="str">
        <f>IF(C25="","",IF(E25="",DATE(2099,12,31),E25))</f>
      </c>
      <c r="M25" s="6"/>
    </row>
    <row r="26">
      <c r="B26" s="10" t="str">
        <f>IF(C26="","",ROW()-5)</f>
      </c>
      <c r="C26" s="5"/>
      <c r="D26" s="7"/>
      <c r="E26" s="7"/>
      <c r="F26" s="9"/>
      <c r="G26" s="8"/>
      <c r="H26" s="8"/>
      <c r="I26" s="8"/>
      <c r="J26" s="13" t="str">
        <f>IF(C26="","",SUM(G26:I26))</f>
      </c>
      <c r="K26" s="10" t="str">
        <f>IF(C26="","",IF(D26&gt;L26,"⚠️ 시작일&gt;종료일 오류",IF(COUNTIFS($C$6:$C$55,C26,$D$6:$D$55,"&lt;="&amp;L26,$L$6:$L$55,"&gt;="&amp;D26)&gt;1,"⚠️ 기간 중복","정상")))</f>
      </c>
      <c r="L26" s="11" t="str">
        <f>IF(C26="","",IF(E26="",DATE(2099,12,31),E26))</f>
      </c>
      <c r="M26" s="6"/>
    </row>
    <row r="27">
      <c r="B27" s="10" t="str">
        <f>IF(C27="","",ROW()-5)</f>
      </c>
      <c r="C27" s="5"/>
      <c r="D27" s="7"/>
      <c r="E27" s="7"/>
      <c r="F27" s="9"/>
      <c r="G27" s="8"/>
      <c r="H27" s="8"/>
      <c r="I27" s="8"/>
      <c r="J27" s="13" t="str">
        <f>IF(C27="","",SUM(G27:I27))</f>
      </c>
      <c r="K27" s="10" t="str">
        <f>IF(C27="","",IF(D27&gt;L27,"⚠️ 시작일&gt;종료일 오류",IF(COUNTIFS($C$6:$C$55,C27,$D$6:$D$55,"&lt;="&amp;L27,$L$6:$L$55,"&gt;="&amp;D27)&gt;1,"⚠️ 기간 중복","정상")))</f>
      </c>
      <c r="L27" s="11" t="str">
        <f>IF(C27="","",IF(E27="",DATE(2099,12,31),E27))</f>
      </c>
      <c r="M27" s="6"/>
    </row>
    <row r="28">
      <c r="B28" s="10" t="str">
        <f>IF(C28="","",ROW()-5)</f>
      </c>
      <c r="C28" s="5"/>
      <c r="D28" s="7"/>
      <c r="E28" s="7"/>
      <c r="F28" s="9"/>
      <c r="G28" s="8"/>
      <c r="H28" s="8"/>
      <c r="I28" s="8"/>
      <c r="J28" s="13" t="str">
        <f>IF(C28="","",SUM(G28:I28))</f>
      </c>
      <c r="K28" s="10" t="str">
        <f>IF(C28="","",IF(D28&gt;L28,"⚠️ 시작일&gt;종료일 오류",IF(COUNTIFS($C$6:$C$55,C28,$D$6:$D$55,"&lt;="&amp;L28,$L$6:$L$55,"&gt;="&amp;D28)&gt;1,"⚠️ 기간 중복","정상")))</f>
      </c>
      <c r="L28" s="11" t="str">
        <f>IF(C28="","",IF(E28="",DATE(2099,12,31),E28))</f>
      </c>
      <c r="M28" s="6"/>
    </row>
    <row r="29">
      <c r="B29" s="10" t="str">
        <f>IF(C29="","",ROW()-5)</f>
      </c>
      <c r="C29" s="5"/>
      <c r="D29" s="7"/>
      <c r="E29" s="7"/>
      <c r="F29" s="9"/>
      <c r="G29" s="8"/>
      <c r="H29" s="8"/>
      <c r="I29" s="8"/>
      <c r="J29" s="13" t="str">
        <f>IF(C29="","",SUM(G29:I29))</f>
      </c>
      <c r="K29" s="10" t="str">
        <f>IF(C29="","",IF(D29&gt;L29,"⚠️ 시작일&gt;종료일 오류",IF(COUNTIFS($C$6:$C$55,C29,$D$6:$D$55,"&lt;="&amp;L29,$L$6:$L$55,"&gt;="&amp;D29)&gt;1,"⚠️ 기간 중복","정상")))</f>
      </c>
      <c r="L29" s="11" t="str">
        <f>IF(C29="","",IF(E29="",DATE(2099,12,31),E29))</f>
      </c>
      <c r="M29" s="6"/>
    </row>
    <row r="30">
      <c r="B30" s="10" t="str">
        <f>IF(C30="","",ROW()-5)</f>
      </c>
      <c r="C30" s="5"/>
      <c r="D30" s="7"/>
      <c r="E30" s="7"/>
      <c r="F30" s="9"/>
      <c r="G30" s="8"/>
      <c r="H30" s="8"/>
      <c r="I30" s="8"/>
      <c r="J30" s="13" t="str">
        <f>IF(C30="","",SUM(G30:I30))</f>
      </c>
      <c r="K30" s="10" t="str">
        <f>IF(C30="","",IF(D30&gt;L30,"⚠️ 시작일&gt;종료일 오류",IF(COUNTIFS($C$6:$C$55,C30,$D$6:$D$55,"&lt;="&amp;L30,$L$6:$L$55,"&gt;="&amp;D30)&gt;1,"⚠️ 기간 중복","정상")))</f>
      </c>
      <c r="L30" s="11" t="str">
        <f>IF(C30="","",IF(E30="",DATE(2099,12,31),E30))</f>
      </c>
      <c r="M30" s="6"/>
    </row>
    <row r="31">
      <c r="B31" s="10" t="str">
        <f>IF(C31="","",ROW()-5)</f>
      </c>
      <c r="C31" s="5"/>
      <c r="D31" s="7"/>
      <c r="E31" s="7"/>
      <c r="F31" s="9"/>
      <c r="G31" s="8"/>
      <c r="H31" s="8"/>
      <c r="I31" s="8"/>
      <c r="J31" s="13" t="str">
        <f>IF(C31="","",SUM(G31:I31))</f>
      </c>
      <c r="K31" s="10" t="str">
        <f>IF(C31="","",IF(D31&gt;L31,"⚠️ 시작일&gt;종료일 오류",IF(COUNTIFS($C$6:$C$55,C31,$D$6:$D$55,"&lt;="&amp;L31,$L$6:$L$55,"&gt;="&amp;D31)&gt;1,"⚠️ 기간 중복","정상")))</f>
      </c>
      <c r="L31" s="11" t="str">
        <f>IF(C31="","",IF(E31="",DATE(2099,12,31),E31))</f>
      </c>
      <c r="M31" s="6"/>
    </row>
    <row r="32">
      <c r="B32" s="10" t="str">
        <f>IF(C32="","",ROW()-5)</f>
      </c>
      <c r="C32" s="5"/>
      <c r="D32" s="7"/>
      <c r="E32" s="7"/>
      <c r="F32" s="9"/>
      <c r="G32" s="8"/>
      <c r="H32" s="8"/>
      <c r="I32" s="8"/>
      <c r="J32" s="13" t="str">
        <f>IF(C32="","",SUM(G32:I32))</f>
      </c>
      <c r="K32" s="10" t="str">
        <f>IF(C32="","",IF(D32&gt;L32,"⚠️ 시작일&gt;종료일 오류",IF(COUNTIFS($C$6:$C$55,C32,$D$6:$D$55,"&lt;="&amp;L32,$L$6:$L$55,"&gt;="&amp;D32)&gt;1,"⚠️ 기간 중복","정상")))</f>
      </c>
      <c r="L32" s="11" t="str">
        <f>IF(C32="","",IF(E32="",DATE(2099,12,31),E32))</f>
      </c>
      <c r="M32" s="6"/>
    </row>
    <row r="33">
      <c r="B33" s="10" t="str">
        <f>IF(C33="","",ROW()-5)</f>
      </c>
      <c r="C33" s="5"/>
      <c r="D33" s="7"/>
      <c r="E33" s="7"/>
      <c r="F33" s="9"/>
      <c r="G33" s="8"/>
      <c r="H33" s="8"/>
      <c r="I33" s="8"/>
      <c r="J33" s="13" t="str">
        <f>IF(C33="","",SUM(G33:I33))</f>
      </c>
      <c r="K33" s="10" t="str">
        <f>IF(C33="","",IF(D33&gt;L33,"⚠️ 시작일&gt;종료일 오류",IF(COUNTIFS($C$6:$C$55,C33,$D$6:$D$55,"&lt;="&amp;L33,$L$6:$L$55,"&gt;="&amp;D33)&gt;1,"⚠️ 기간 중복","정상")))</f>
      </c>
      <c r="L33" s="11" t="str">
        <f>IF(C33="","",IF(E33="",DATE(2099,12,31),E33))</f>
      </c>
      <c r="M33" s="6"/>
    </row>
    <row r="34">
      <c r="B34" s="10" t="str">
        <f>IF(C34="","",ROW()-5)</f>
      </c>
      <c r="C34" s="5"/>
      <c r="D34" s="7"/>
      <c r="E34" s="7"/>
      <c r="F34" s="9"/>
      <c r="G34" s="8"/>
      <c r="H34" s="8"/>
      <c r="I34" s="8"/>
      <c r="J34" s="13" t="str">
        <f>IF(C34="","",SUM(G34:I34))</f>
      </c>
      <c r="K34" s="10" t="str">
        <f>IF(C34="","",IF(D34&gt;L34,"⚠️ 시작일&gt;종료일 오류",IF(COUNTIFS($C$6:$C$55,C34,$D$6:$D$55,"&lt;="&amp;L34,$L$6:$L$55,"&gt;="&amp;D34)&gt;1,"⚠️ 기간 중복","정상")))</f>
      </c>
      <c r="L34" s="11" t="str">
        <f>IF(C34="","",IF(E34="",DATE(2099,12,31),E34))</f>
      </c>
      <c r="M34" s="6"/>
    </row>
    <row r="35">
      <c r="B35" s="10" t="str">
        <f>IF(C35="","",ROW()-5)</f>
      </c>
      <c r="C35" s="5"/>
      <c r="D35" s="7"/>
      <c r="E35" s="7"/>
      <c r="F35" s="9"/>
      <c r="G35" s="8"/>
      <c r="H35" s="8"/>
      <c r="I35" s="8"/>
      <c r="J35" s="13" t="str">
        <f>IF(C35="","",SUM(G35:I35))</f>
      </c>
      <c r="K35" s="10" t="str">
        <f>IF(C35="","",IF(D35&gt;L35,"⚠️ 시작일&gt;종료일 오류",IF(COUNTIFS($C$6:$C$55,C35,$D$6:$D$55,"&lt;="&amp;L35,$L$6:$L$55,"&gt;="&amp;D35)&gt;1,"⚠️ 기간 중복","정상")))</f>
      </c>
      <c r="L35" s="11" t="str">
        <f>IF(C35="","",IF(E35="",DATE(2099,12,31),E35))</f>
      </c>
      <c r="M35" s="6"/>
    </row>
    <row r="36">
      <c r="B36" s="10" t="str">
        <f>IF(C36="","",ROW()-5)</f>
      </c>
      <c r="C36" s="5"/>
      <c r="D36" s="7"/>
      <c r="E36" s="7"/>
      <c r="F36" s="9"/>
      <c r="G36" s="8"/>
      <c r="H36" s="8"/>
      <c r="I36" s="8"/>
      <c r="J36" s="13" t="str">
        <f>IF(C36="","",SUM(G36:I36))</f>
      </c>
      <c r="K36" s="10" t="str">
        <f>IF(C36="","",IF(D36&gt;L36,"⚠️ 시작일&gt;종료일 오류",IF(COUNTIFS($C$6:$C$55,C36,$D$6:$D$55,"&lt;="&amp;L36,$L$6:$L$55,"&gt;="&amp;D36)&gt;1,"⚠️ 기간 중복","정상")))</f>
      </c>
      <c r="L36" s="11" t="str">
        <f>IF(C36="","",IF(E36="",DATE(2099,12,31),E36))</f>
      </c>
      <c r="M36" s="6"/>
    </row>
    <row r="37">
      <c r="B37" s="10" t="str">
        <f>IF(C37="","",ROW()-5)</f>
      </c>
      <c r="C37" s="5"/>
      <c r="D37" s="7"/>
      <c r="E37" s="7"/>
      <c r="F37" s="9"/>
      <c r="G37" s="8"/>
      <c r="H37" s="8"/>
      <c r="I37" s="8"/>
      <c r="J37" s="13" t="str">
        <f>IF(C37="","",SUM(G37:I37))</f>
      </c>
      <c r="K37" s="10" t="str">
        <f>IF(C37="","",IF(D37&gt;L37,"⚠️ 시작일&gt;종료일 오류",IF(COUNTIFS($C$6:$C$55,C37,$D$6:$D$55,"&lt;="&amp;L37,$L$6:$L$55,"&gt;="&amp;D37)&gt;1,"⚠️ 기간 중복","정상")))</f>
      </c>
      <c r="L37" s="11" t="str">
        <f>IF(C37="","",IF(E37="",DATE(2099,12,31),E37))</f>
      </c>
      <c r="M37" s="6"/>
    </row>
    <row r="38">
      <c r="B38" s="10" t="str">
        <f>IF(C38="","",ROW()-5)</f>
      </c>
      <c r="C38" s="5"/>
      <c r="D38" s="7"/>
      <c r="E38" s="7"/>
      <c r="F38" s="9"/>
      <c r="G38" s="8"/>
      <c r="H38" s="8"/>
      <c r="I38" s="8"/>
      <c r="J38" s="13" t="str">
        <f>IF(C38="","",SUM(G38:I38))</f>
      </c>
      <c r="K38" s="10" t="str">
        <f>IF(C38="","",IF(D38&gt;L38,"⚠️ 시작일&gt;종료일 오류",IF(COUNTIFS($C$6:$C$55,C38,$D$6:$D$55,"&lt;="&amp;L38,$L$6:$L$55,"&gt;="&amp;D38)&gt;1,"⚠️ 기간 중복","정상")))</f>
      </c>
      <c r="L38" s="11" t="str">
        <f>IF(C38="","",IF(E38="",DATE(2099,12,31),E38))</f>
      </c>
      <c r="M38" s="6"/>
    </row>
    <row r="39">
      <c r="B39" s="10" t="str">
        <f>IF(C39="","",ROW()-5)</f>
      </c>
      <c r="C39" s="5"/>
      <c r="D39" s="7"/>
      <c r="E39" s="7"/>
      <c r="F39" s="9"/>
      <c r="G39" s="8"/>
      <c r="H39" s="8"/>
      <c r="I39" s="8"/>
      <c r="J39" s="13" t="str">
        <f>IF(C39="","",SUM(G39:I39))</f>
      </c>
      <c r="K39" s="10" t="str">
        <f>IF(C39="","",IF(D39&gt;L39,"⚠️ 시작일&gt;종료일 오류",IF(COUNTIFS($C$6:$C$55,C39,$D$6:$D$55,"&lt;="&amp;L39,$L$6:$L$55,"&gt;="&amp;D39)&gt;1,"⚠️ 기간 중복","정상")))</f>
      </c>
      <c r="L39" s="11" t="str">
        <f>IF(C39="","",IF(E39="",DATE(2099,12,31),E39))</f>
      </c>
      <c r="M39" s="6"/>
    </row>
    <row r="40">
      <c r="B40" s="10" t="str">
        <f>IF(C40="","",ROW()-5)</f>
      </c>
      <c r="C40" s="5"/>
      <c r="D40" s="7"/>
      <c r="E40" s="7"/>
      <c r="F40" s="9"/>
      <c r="G40" s="8"/>
      <c r="H40" s="8"/>
      <c r="I40" s="8"/>
      <c r="J40" s="13" t="str">
        <f>IF(C40="","",SUM(G40:I40))</f>
      </c>
      <c r="K40" s="10" t="str">
        <f>IF(C40="","",IF(D40&gt;L40,"⚠️ 시작일&gt;종료일 오류",IF(COUNTIFS($C$6:$C$55,C40,$D$6:$D$55,"&lt;="&amp;L40,$L$6:$L$55,"&gt;="&amp;D40)&gt;1,"⚠️ 기간 중복","정상")))</f>
      </c>
      <c r="L40" s="11" t="str">
        <f>IF(C40="","",IF(E40="",DATE(2099,12,31),E40))</f>
      </c>
      <c r="M40" s="6"/>
    </row>
    <row r="41">
      <c r="B41" s="10" t="str">
        <f>IF(C41="","",ROW()-5)</f>
      </c>
      <c r="C41" s="5"/>
      <c r="D41" s="7"/>
      <c r="E41" s="7"/>
      <c r="F41" s="9"/>
      <c r="G41" s="8"/>
      <c r="H41" s="8"/>
      <c r="I41" s="8"/>
      <c r="J41" s="13" t="str">
        <f>IF(C41="","",SUM(G41:I41))</f>
      </c>
      <c r="K41" s="10" t="str">
        <f>IF(C41="","",IF(D41&gt;L41,"⚠️ 시작일&gt;종료일 오류",IF(COUNTIFS($C$6:$C$55,C41,$D$6:$D$55,"&lt;="&amp;L41,$L$6:$L$55,"&gt;="&amp;D41)&gt;1,"⚠️ 기간 중복","정상")))</f>
      </c>
      <c r="L41" s="11" t="str">
        <f>IF(C41="","",IF(E41="",DATE(2099,12,31),E41))</f>
      </c>
      <c r="M41" s="6"/>
    </row>
    <row r="42">
      <c r="B42" s="10" t="str">
        <f>IF(C42="","",ROW()-5)</f>
      </c>
      <c r="C42" s="5"/>
      <c r="D42" s="7"/>
      <c r="E42" s="7"/>
      <c r="F42" s="9"/>
      <c r="G42" s="8"/>
      <c r="H42" s="8"/>
      <c r="I42" s="8"/>
      <c r="J42" s="13" t="str">
        <f>IF(C42="","",SUM(G42:I42))</f>
      </c>
      <c r="K42" s="10" t="str">
        <f>IF(C42="","",IF(D42&gt;L42,"⚠️ 시작일&gt;종료일 오류",IF(COUNTIFS($C$6:$C$55,C42,$D$6:$D$55,"&lt;="&amp;L42,$L$6:$L$55,"&gt;="&amp;D42)&gt;1,"⚠️ 기간 중복","정상")))</f>
      </c>
      <c r="L42" s="11" t="str">
        <f>IF(C42="","",IF(E42="",DATE(2099,12,31),E42))</f>
      </c>
      <c r="M42" s="6"/>
    </row>
    <row r="43">
      <c r="B43" s="10" t="str">
        <f>IF(C43="","",ROW()-5)</f>
      </c>
      <c r="C43" s="5"/>
      <c r="D43" s="7"/>
      <c r="E43" s="7"/>
      <c r="F43" s="9"/>
      <c r="G43" s="8"/>
      <c r="H43" s="8"/>
      <c r="I43" s="8"/>
      <c r="J43" s="13" t="str">
        <f>IF(C43="","",SUM(G43:I43))</f>
      </c>
      <c r="K43" s="10" t="str">
        <f>IF(C43="","",IF(D43&gt;L43,"⚠️ 시작일&gt;종료일 오류",IF(COUNTIFS($C$6:$C$55,C43,$D$6:$D$55,"&lt;="&amp;L43,$L$6:$L$55,"&gt;="&amp;D43)&gt;1,"⚠️ 기간 중복","정상")))</f>
      </c>
      <c r="L43" s="11" t="str">
        <f>IF(C43="","",IF(E43="",DATE(2099,12,31),E43))</f>
      </c>
      <c r="M43" s="6"/>
    </row>
    <row r="44">
      <c r="B44" s="10" t="str">
        <f>IF(C44="","",ROW()-5)</f>
      </c>
      <c r="C44" s="5"/>
      <c r="D44" s="7"/>
      <c r="E44" s="7"/>
      <c r="F44" s="9"/>
      <c r="G44" s="8"/>
      <c r="H44" s="8"/>
      <c r="I44" s="8"/>
      <c r="J44" s="13" t="str">
        <f>IF(C44="","",SUM(G44:I44))</f>
      </c>
      <c r="K44" s="10" t="str">
        <f>IF(C44="","",IF(D44&gt;L44,"⚠️ 시작일&gt;종료일 오류",IF(COUNTIFS($C$6:$C$55,C44,$D$6:$D$55,"&lt;="&amp;L44,$L$6:$L$55,"&gt;="&amp;D44)&gt;1,"⚠️ 기간 중복","정상")))</f>
      </c>
      <c r="L44" s="11" t="str">
        <f>IF(C44="","",IF(E44="",DATE(2099,12,31),E44))</f>
      </c>
      <c r="M44" s="6"/>
    </row>
    <row r="45">
      <c r="B45" s="10" t="str">
        <f>IF(C45="","",ROW()-5)</f>
      </c>
      <c r="C45" s="5"/>
      <c r="D45" s="7"/>
      <c r="E45" s="7"/>
      <c r="F45" s="9"/>
      <c r="G45" s="8"/>
      <c r="H45" s="8"/>
      <c r="I45" s="8"/>
      <c r="J45" s="13" t="str">
        <f>IF(C45="","",SUM(G45:I45))</f>
      </c>
      <c r="K45" s="10" t="str">
        <f>IF(C45="","",IF(D45&gt;L45,"⚠️ 시작일&gt;종료일 오류",IF(COUNTIFS($C$6:$C$55,C45,$D$6:$D$55,"&lt;="&amp;L45,$L$6:$L$55,"&gt;="&amp;D45)&gt;1,"⚠️ 기간 중복","정상")))</f>
      </c>
      <c r="L45" s="11" t="str">
        <f>IF(C45="","",IF(E45="",DATE(2099,12,31),E45))</f>
      </c>
      <c r="M45" s="6"/>
    </row>
    <row r="46">
      <c r="B46" s="10" t="str">
        <f>IF(C46="","",ROW()-5)</f>
      </c>
      <c r="C46" s="5"/>
      <c r="D46" s="7"/>
      <c r="E46" s="7"/>
      <c r="F46" s="9"/>
      <c r="G46" s="8"/>
      <c r="H46" s="8"/>
      <c r="I46" s="8"/>
      <c r="J46" s="13" t="str">
        <f>IF(C46="","",SUM(G46:I46))</f>
      </c>
      <c r="K46" s="10" t="str">
        <f>IF(C46="","",IF(D46&gt;L46,"⚠️ 시작일&gt;종료일 오류",IF(COUNTIFS($C$6:$C$55,C46,$D$6:$D$55,"&lt;="&amp;L46,$L$6:$L$55,"&gt;="&amp;D46)&gt;1,"⚠️ 기간 중복","정상")))</f>
      </c>
      <c r="L46" s="11" t="str">
        <f>IF(C46="","",IF(E46="",DATE(2099,12,31),E46))</f>
      </c>
      <c r="M46" s="6"/>
    </row>
    <row r="47">
      <c r="B47" s="10" t="str">
        <f>IF(C47="","",ROW()-5)</f>
      </c>
      <c r="C47" s="5"/>
      <c r="D47" s="7"/>
      <c r="E47" s="7"/>
      <c r="F47" s="9"/>
      <c r="G47" s="8"/>
      <c r="H47" s="8"/>
      <c r="I47" s="8"/>
      <c r="J47" s="13" t="str">
        <f>IF(C47="","",SUM(G47:I47))</f>
      </c>
      <c r="K47" s="10" t="str">
        <f>IF(C47="","",IF(D47&gt;L47,"⚠️ 시작일&gt;종료일 오류",IF(COUNTIFS($C$6:$C$55,C47,$D$6:$D$55,"&lt;="&amp;L47,$L$6:$L$55,"&gt;="&amp;D47)&gt;1,"⚠️ 기간 중복","정상")))</f>
      </c>
      <c r="L47" s="11" t="str">
        <f>IF(C47="","",IF(E47="",DATE(2099,12,31),E47))</f>
      </c>
      <c r="M47" s="6"/>
    </row>
    <row r="48">
      <c r="B48" s="10" t="str">
        <f>IF(C48="","",ROW()-5)</f>
      </c>
      <c r="C48" s="5"/>
      <c r="D48" s="7"/>
      <c r="E48" s="7"/>
      <c r="F48" s="9"/>
      <c r="G48" s="8"/>
      <c r="H48" s="8"/>
      <c r="I48" s="8"/>
      <c r="J48" s="13" t="str">
        <f>IF(C48="","",SUM(G48:I48))</f>
      </c>
      <c r="K48" s="10" t="str">
        <f>IF(C48="","",IF(D48&gt;L48,"⚠️ 시작일&gt;종료일 오류",IF(COUNTIFS($C$6:$C$55,C48,$D$6:$D$55,"&lt;="&amp;L48,$L$6:$L$55,"&gt;="&amp;D48)&gt;1,"⚠️ 기간 중복","정상")))</f>
      </c>
      <c r="L48" s="11" t="str">
        <f>IF(C48="","",IF(E48="",DATE(2099,12,31),E48))</f>
      </c>
      <c r="M48" s="6"/>
    </row>
    <row r="49">
      <c r="B49" s="10" t="str">
        <f>IF(C49="","",ROW()-5)</f>
      </c>
      <c r="C49" s="5"/>
      <c r="D49" s="7"/>
      <c r="E49" s="7"/>
      <c r="F49" s="9"/>
      <c r="G49" s="8"/>
      <c r="H49" s="8"/>
      <c r="I49" s="8"/>
      <c r="J49" s="13" t="str">
        <f>IF(C49="","",SUM(G49:I49))</f>
      </c>
      <c r="K49" s="10" t="str">
        <f>IF(C49="","",IF(D49&gt;L49,"⚠️ 시작일&gt;종료일 오류",IF(COUNTIFS($C$6:$C$55,C49,$D$6:$D$55,"&lt;="&amp;L49,$L$6:$L$55,"&gt;="&amp;D49)&gt;1,"⚠️ 기간 중복","정상")))</f>
      </c>
      <c r="L49" s="11" t="str">
        <f>IF(C49="","",IF(E49="",DATE(2099,12,31),E49))</f>
      </c>
      <c r="M49" s="6"/>
    </row>
    <row r="50">
      <c r="B50" s="10" t="str">
        <f>IF(C50="","",ROW()-5)</f>
      </c>
      <c r="C50" s="5"/>
      <c r="D50" s="7"/>
      <c r="E50" s="7"/>
      <c r="F50" s="9"/>
      <c r="G50" s="8"/>
      <c r="H50" s="8"/>
      <c r="I50" s="8"/>
      <c r="J50" s="13" t="str">
        <f>IF(C50="","",SUM(G50:I50))</f>
      </c>
      <c r="K50" s="10" t="str">
        <f>IF(C50="","",IF(D50&gt;L50,"⚠️ 시작일&gt;종료일 오류",IF(COUNTIFS($C$6:$C$55,C50,$D$6:$D$55,"&lt;="&amp;L50,$L$6:$L$55,"&gt;="&amp;D50)&gt;1,"⚠️ 기간 중복","정상")))</f>
      </c>
      <c r="L50" s="11" t="str">
        <f>IF(C50="","",IF(E50="",DATE(2099,12,31),E50))</f>
      </c>
      <c r="M50" s="6"/>
    </row>
    <row r="51">
      <c r="B51" s="10" t="str">
        <f>IF(C51="","",ROW()-5)</f>
      </c>
      <c r="C51" s="5"/>
      <c r="D51" s="7"/>
      <c r="E51" s="7"/>
      <c r="F51" s="9"/>
      <c r="G51" s="8"/>
      <c r="H51" s="8"/>
      <c r="I51" s="8"/>
      <c r="J51" s="13" t="str">
        <f>IF(C51="","",SUM(G51:I51))</f>
      </c>
      <c r="K51" s="10" t="str">
        <f>IF(C51="","",IF(D51&gt;L51,"⚠️ 시작일&gt;종료일 오류",IF(COUNTIFS($C$6:$C$55,C51,$D$6:$D$55,"&lt;="&amp;L51,$L$6:$L$55,"&gt;="&amp;D51)&gt;1,"⚠️ 기간 중복","정상")))</f>
      </c>
      <c r="L51" s="11" t="str">
        <f>IF(C51="","",IF(E51="",DATE(2099,12,31),E51))</f>
      </c>
      <c r="M51" s="6"/>
    </row>
    <row r="52">
      <c r="B52" s="10" t="str">
        <f>IF(C52="","",ROW()-5)</f>
      </c>
      <c r="C52" s="5"/>
      <c r="D52" s="7"/>
      <c r="E52" s="7"/>
      <c r="F52" s="9"/>
      <c r="G52" s="8"/>
      <c r="H52" s="8"/>
      <c r="I52" s="8"/>
      <c r="J52" s="13" t="str">
        <f>IF(C52="","",SUM(G52:I52))</f>
      </c>
      <c r="K52" s="10" t="str">
        <f>IF(C52="","",IF(D52&gt;L52,"⚠️ 시작일&gt;종료일 오류",IF(COUNTIFS($C$6:$C$55,C52,$D$6:$D$55,"&lt;="&amp;L52,$L$6:$L$55,"&gt;="&amp;D52)&gt;1,"⚠️ 기간 중복","정상")))</f>
      </c>
      <c r="L52" s="11" t="str">
        <f>IF(C52="","",IF(E52="",DATE(2099,12,31),E52))</f>
      </c>
      <c r="M52" s="6"/>
    </row>
    <row r="53">
      <c r="B53" s="10" t="str">
        <f>IF(C53="","",ROW()-5)</f>
      </c>
      <c r="C53" s="5"/>
      <c r="D53" s="7"/>
      <c r="E53" s="7"/>
      <c r="F53" s="9"/>
      <c r="G53" s="8"/>
      <c r="H53" s="8"/>
      <c r="I53" s="8"/>
      <c r="J53" s="13" t="str">
        <f>IF(C53="","",SUM(G53:I53))</f>
      </c>
      <c r="K53" s="10" t="str">
        <f>IF(C53="","",IF(D53&gt;L53,"⚠️ 시작일&gt;종료일 오류",IF(COUNTIFS($C$6:$C$55,C53,$D$6:$D$55,"&lt;="&amp;L53,$L$6:$L$55,"&gt;="&amp;D53)&gt;1,"⚠️ 기간 중복","정상")))</f>
      </c>
      <c r="L53" s="11" t="str">
        <f>IF(C53="","",IF(E53="",DATE(2099,12,31),E53))</f>
      </c>
      <c r="M53" s="6"/>
    </row>
    <row r="54">
      <c r="B54" s="10" t="str">
        <f>IF(C54="","",ROW()-5)</f>
      </c>
      <c r="C54" s="5"/>
      <c r="D54" s="7"/>
      <c r="E54" s="7"/>
      <c r="F54" s="9"/>
      <c r="G54" s="8"/>
      <c r="H54" s="8"/>
      <c r="I54" s="8"/>
      <c r="J54" s="13" t="str">
        <f>IF(C54="","",SUM(G54:I54))</f>
      </c>
      <c r="K54" s="10" t="str">
        <f>IF(C54="","",IF(D54&gt;L54,"⚠️ 시작일&gt;종료일 오류",IF(COUNTIFS($C$6:$C$55,C54,$D$6:$D$55,"&lt;="&amp;L54,$L$6:$L$55,"&gt;="&amp;D54)&gt;1,"⚠️ 기간 중복","정상")))</f>
      </c>
      <c r="L54" s="11" t="str">
        <f>IF(C54="","",IF(E54="",DATE(2099,12,31),E54))</f>
      </c>
      <c r="M54" s="6"/>
    </row>
    <row r="55">
      <c r="B55" s="10" t="str">
        <f>IF(C55="","",ROW()-5)</f>
      </c>
      <c r="C55" s="5"/>
      <c r="D55" s="7"/>
      <c r="E55" s="7"/>
      <c r="F55" s="9"/>
      <c r="G55" s="8"/>
      <c r="H55" s="8"/>
      <c r="I55" s="8"/>
      <c r="J55" s="13" t="str">
        <f>IF(C55="","",SUM(G55:I55))</f>
      </c>
      <c r="K55" s="10" t="str">
        <f>IF(C55="","",IF(D55&gt;L55,"⚠️ 시작일&gt;종료일 오류",IF(COUNTIFS($C$6:$C$55,C55,$D$6:$D$55,"&lt;="&amp;L55,$L$6:$L$55,"&gt;="&amp;D55)&gt;1,"⚠️ 기간 중복","정상")))</f>
      </c>
      <c r="L55" s="11" t="str">
        <f>IF(C55="","",IF(E55="",DATE(2099,12,31),E55))</f>
      </c>
      <c r="M55" s="6"/>
    </row>
  </sheetData>
  <mergeCells count="2">
    <mergeCell ref="B2:M2"/>
    <mergeCell ref="B3:M3"/>
  </mergeCells>
  <conditionalFormatting sqref="K6:K55">
    <cfRule type="containsText" dxfId="1" priority="1" operator="containsText" text="⚠️">
      <formula>NOT(ISERROR(SEARCH("⚠️",K6)))</formula>
    </cfRule>
  </conditionalFormatting>
  <dataValidations count="1">
    <dataValidation type="list" allowBlank="1" showInputMessage="1" promptTitle="판매채널 선택" prompt="비용을 설정할 판매채널을 선택하세요." showErrorMessage="1" sqref="C6:C55">
      <formula1>'6_사용설명서_및_기준관리'!$B$6:$B$25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6" topLeftCell="A7" activePane="bottomLeft" state="frozen"/>
    </sheetView>
  </sheetViews>
  <sheetFormatPr defaultRowHeight="20"/>
  <cols>
    <col min="1" max="1" width="3" customWidth="1"/>
    <col min="2" max="2" width="7" customWidth="1"/>
    <col min="3" max="3" width="18" customWidth="1"/>
    <col min="4" max="4" width="11" customWidth="1"/>
    <col min="5" max="5" width="15" customWidth="1"/>
    <col min="6" max="6" width="12" customWidth="1"/>
    <col min="7" max="12" width="15" customWidth="1"/>
    <col min="13" max="13" width="13" customWidth="1"/>
    <col min="14" max="15" width="15" customWidth="1"/>
    <col min="16" max="16" width="13" customWidth="1"/>
    <col min="17" max="17" width="3" customWidth="1"/>
    <col min="18" max="30" width="13" customWidth="1"/>
  </cols>
  <sheetData>
    <row r="2" ht="28" customHeight="1">
      <c r="B2" s="1" t="inlineStr">
        <is>
          <t>📊 거래처별 · 판매채널별 손익 상세 분석 (선택 기간 연동 및 자동 정렬)</t>
        </is>
      </c>
    </row>
    <row r="3" ht="22" customHeight="1">
      <c r="B3" s="4" t="inlineStr">
        <is>
          <t>연동 시작일</t>
        </is>
      </c>
      <c r="C3" s="4" t="inlineStr">
        <is>
          <t>연동 종료일</t>
        </is>
      </c>
      <c r="D3" s="3" t="inlineStr">
        <is>
          <t>표/그래프 정렬 기준 (드롭다운 선택)</t>
        </is>
      </c>
      <c r="E3" s="3"/>
      <c r="F3" s="3"/>
      <c r="G3" s="4" t="inlineStr">
        <is>
          <t>공통비용 배분 기준</t>
        </is>
      </c>
      <c r="H3" s="4"/>
      <c r="I3" s="4" t="inlineStr">
        <is>
          <t>기간 공통비용 합계</t>
        </is>
      </c>
      <c r="J3" s="4" t="inlineStr">
        <is>
          <t>안내 사항</t>
        </is>
      </c>
      <c r="K3" s="4"/>
      <c r="L3" s="4"/>
      <c r="M3" s="4"/>
      <c r="N3" s="4"/>
      <c r="O3" s="4"/>
      <c r="P3" s="4"/>
    </row>
    <row r="4" ht="25" customHeight="1">
      <c r="B4" s="11">
        <f>'1_매출손익_대시보드'!F4</f>
        <v>46113</v>
      </c>
      <c r="C4" s="11">
        <f>'1_매출손익_대시보드'!G4</f>
        <v>46142</v>
      </c>
      <c r="D4" s="5" t="inlineStr">
        <is>
          <t>순이익 높은순</t>
        </is>
      </c>
      <c r="E4" s="5"/>
      <c r="F4" s="5"/>
      <c r="G4" s="10" t="str">
        <f>'5_목표매출_및_공통비용'!K4</f>
        <v>매출액 비중 배분</v>
      </c>
      <c r="H4" s="10"/>
      <c r="I4" s="12">
        <f>'5_목표매출_및_공통비용'!M26</f>
        <v>850000</v>
      </c>
      <c r="J4" s="22" t="inlineStr">
        <is>
          <t>💡 적자(&lt;0) 항목은 붉은색으로 강조됩니다. 순이익률은 일별 평균이 아닌 [기간 순이익 합계 ÷ 매출액 합계]로 계산됩니다.</t>
        </is>
      </c>
      <c r="K4" s="22"/>
      <c r="L4" s="22"/>
      <c r="M4" s="22"/>
      <c r="N4" s="22"/>
      <c r="O4" s="22"/>
      <c r="P4" s="22"/>
    </row>
    <row r="6" ht="24" customHeight="1">
      <c r="B6" s="2" t="inlineStr">
        <is>
          <t>🏢 1. 거래처별 손익 분석표 (같은 거래처의 여러 판매채널 실적 자동 합산)</t>
        </is>
      </c>
      <c r="R6" s="19" t="inlineStr">
        <is>
          <t>[자동정렬용 원본 집계 데이터 - 수정하지 마세요]</t>
        </is>
      </c>
    </row>
    <row r="7" ht="28" customHeight="1">
      <c r="B7" s="4" t="inlineStr">
        <is>
          <t>순위</t>
        </is>
      </c>
      <c r="C7" s="4" t="inlineStr">
        <is>
          <t>거래처명</t>
        </is>
      </c>
      <c r="D7" s="4" t="inlineStr">
        <is>
          <t>주문건수</t>
        </is>
      </c>
      <c r="E7" s="4" t="inlineStr">
        <is>
          <t>매출액 (원)</t>
        </is>
      </c>
      <c r="F7" s="4" t="inlineStr">
        <is>
          <t>매출 비중</t>
        </is>
      </c>
      <c r="G7" s="4" t="inlineStr">
        <is>
          <t>상품 총원가</t>
        </is>
      </c>
      <c r="H7" s="4" t="inlineStr">
        <is>
          <t>매출액 수수료</t>
        </is>
      </c>
      <c r="I7" s="4" t="inlineStr">
        <is>
          <t>주문건수 비용</t>
        </is>
      </c>
      <c r="J7" s="4" t="inlineStr">
        <is>
          <t>추가 비용</t>
        </is>
      </c>
      <c r="K7" s="4" t="inlineStr">
        <is>
          <t>총비용
(공통비 제외)</t>
        </is>
      </c>
      <c r="L7" s="4" t="inlineStr">
        <is>
          <t>순이익
(공통비 전)</t>
        </is>
      </c>
      <c r="M7" s="4" t="inlineStr">
        <is>
          <t>순이익률
(공통비 전)</t>
        </is>
      </c>
      <c r="N7" s="4" t="inlineStr">
        <is>
          <t>공통비용
배분액</t>
        </is>
      </c>
      <c r="O7" s="4" t="inlineStr">
        <is>
          <t>최종 순이익
(공통비 후)</t>
        </is>
      </c>
      <c r="P7" s="4" t="inlineStr">
        <is>
          <t>최종 이익률
(공통비 후)</t>
        </is>
      </c>
      <c r="R7" s="19" t="inlineStr">
        <is>
          <t>정렬점수</t>
        </is>
      </c>
      <c r="S7" s="19" t="inlineStr">
        <is>
          <t>항목명</t>
        </is>
      </c>
      <c r="T7" s="19" t="inlineStr">
        <is>
          <t>주문건수</t>
        </is>
      </c>
      <c r="U7" s="19" t="inlineStr">
        <is>
          <t>매출액</t>
        </is>
      </c>
      <c r="V7" s="19" t="inlineStr">
        <is>
          <t>상품원가</t>
        </is>
      </c>
      <c r="W7" s="19" t="inlineStr">
        <is>
          <t>매출수수료</t>
        </is>
      </c>
      <c r="X7" s="19" t="inlineStr">
        <is>
          <t>건수비용</t>
        </is>
      </c>
      <c r="Y7" s="19" t="inlineStr">
        <is>
          <t>추가비용</t>
        </is>
      </c>
      <c r="Z7" s="19" t="inlineStr">
        <is>
          <t>총비용</t>
        </is>
      </c>
      <c r="AA7" s="19" t="inlineStr">
        <is>
          <t>순이익</t>
        </is>
      </c>
    </row>
    <row r="8">
      <c r="B8" s="10">
        <v>1</v>
      </c>
      <c r="C8" s="23" t="str">
        <f>INDEX($S$8:$S$15,MATCH(LARGE($R$8:$R$15,B8),$R$8:$R$15,0))</f>
        <v>고흥유자농원</v>
      </c>
      <c r="D8" s="25">
        <f>INDEX($T$8:$T$15,MATCH(LARGE($R$8:$R$15,B8),$R$8:$R$15,0))</f>
        <v>75</v>
      </c>
      <c r="E8" s="25">
        <f>INDEX($U$8:$U$15,MATCH(LARGE($R$8:$R$15,B8),$R$8:$R$15,0))</f>
        <v>3175000</v>
      </c>
      <c r="F8" s="14">
        <f>IFERROR(E8/$E$16,0)</f>
        <v>0.26067323481116583</v>
      </c>
      <c r="G8" s="25">
        <f>INDEX($V$8:$V$15,MATCH(LARGE($R$8:$R$15,B8),$R$8:$R$15,0))</f>
        <v>1590000</v>
      </c>
      <c r="H8" s="25">
        <f>INDEX($W$8:$W$15,MATCH(LARGE($R$8:$R$15,B8),$R$8:$R$15,0))</f>
        <v>153400</v>
      </c>
      <c r="I8" s="25">
        <f>INDEX($X$8:$X$15,MATCH(LARGE($R$8:$R$15,B8),$R$8:$R$15,0))</f>
        <v>318800</v>
      </c>
      <c r="J8" s="25">
        <f>INDEX($Y$8:$Y$15,MATCH(LARGE($R$8:$R$15,B8),$R$8:$R$15,0))</f>
        <v>0</v>
      </c>
      <c r="K8" s="12">
        <f>SUM(G8:J8)</f>
        <v>2062200</v>
      </c>
      <c r="L8" s="13">
        <f>E8-K8</f>
        <v>1112800</v>
      </c>
      <c r="M8" s="14">
        <f>IFERROR(L8/E8,0)</f>
        <v>0.35048818897637796</v>
      </c>
      <c r="N8" s="12">
        <f>IF($G$4="매출액 비중 배분",ROUND($I$4*F8,0),IF($G$4="주문건수 비중 배분",ROUND($I$4*IFERROR(D8/$D$16,0),0),0))</f>
        <v>221572</v>
      </c>
      <c r="O8" s="12">
        <f>L8-N8</f>
        <v>891228</v>
      </c>
      <c r="P8" s="14">
        <f>IFERROR(O8/E8,0)</f>
        <v>0.28070173228346457</v>
      </c>
      <c r="R8" s="25">
        <f>IF($D$4="매출액 높은순",U8,IF($D$4="순이익 높은순",AA8,-ROW()))+(100-ROW())*0.00001</f>
        <v>893330.00092</v>
      </c>
      <c r="S8" s="23" t="str">
        <f>'6_사용설명서_및_기준관리'!D6</f>
        <v>청정영농조합</v>
      </c>
      <c r="T8" s="25">
        <f>SUMIFS('2_일일매출_입력'!$E$6:$E$505,'2_일일매출_입력'!$C$6:$C$505,S8,'2_일일매출_입력'!$B$6:$B$505,"&gt;="&amp;$B$4,'2_일일매출_입력'!$B$6:$B$505,"&lt;="&amp;$C$4)</f>
        <v>52</v>
      </c>
      <c r="U8" s="25">
        <f>SUMIFS('2_일일매출_입력'!$F$6:$F$505,'2_일일매출_입력'!$C$6:$C$505,S8,'2_일일매출_입력'!$B$6:$B$505,"&gt;="&amp;$B$4,'2_일일매출_입력'!$B$6:$B$505,"&lt;="&amp;$C$4)</f>
        <v>2490000</v>
      </c>
      <c r="V8" s="25">
        <f>SUMIFS('2_일일매출_입력'!$G$6:$G$505,'2_일일매출_입력'!$C$6:$C$505,S8,'2_일일매출_입력'!$B$6:$B$505,"&gt;="&amp;$B$4,'2_일일매출_입력'!$B$6:$B$505,"&lt;="&amp;$C$4)</f>
        <v>1330000</v>
      </c>
      <c r="W8" s="25">
        <f>SUMIFS('2_일일매출_입력'!$L$6:$L$505,'2_일일매출_입력'!$C$6:$C$505,S8,'2_일일매출_입력'!$B$6:$B$505,"&gt;="&amp;$B$4,'2_일일매출_입력'!$B$6:$B$505,"&lt;="&amp;$C$4)</f>
        <v>32670</v>
      </c>
      <c r="X8" s="25">
        <f>SUMIFS('2_일일매출_입력'!$N$6:$N$505,'2_일일매출_입력'!$C$6:$C$505,S8,'2_일일매출_입력'!$B$6:$B$505,"&gt;="&amp;$B$4,'2_일일매출_입력'!$B$6:$B$505,"&lt;="&amp;$C$4)</f>
        <v>234000</v>
      </c>
      <c r="Y8" s="25">
        <f>SUMIFS('2_일일매출_입력'!$H$6:$H$505,'2_일일매출_입력'!$C$6:$C$505,S8,'2_일일매출_입력'!$B$6:$B$505,"&gt;="&amp;$B$4,'2_일일매출_입력'!$B$6:$B$505,"&lt;="&amp;$C$4)</f>
        <v>0</v>
      </c>
      <c r="Z8" s="25">
        <f>SUM(V8:Y8)</f>
        <v>1596670</v>
      </c>
      <c r="AA8" s="25">
        <f>U8-Z8</f>
        <v>893330</v>
      </c>
    </row>
    <row r="9">
      <c r="B9" s="10">
        <v>2</v>
      </c>
      <c r="C9" s="23" t="str">
        <f>INDEX($S$8:$S$15,MATCH(LARGE($R$8:$R$15,B9),$R$8:$R$15,0))</f>
        <v>청정영농조합</v>
      </c>
      <c r="D9" s="25">
        <f>INDEX($T$8:$T$15,MATCH(LARGE($R$8:$R$15,B9),$R$8:$R$15,0))</f>
        <v>52</v>
      </c>
      <c r="E9" s="25">
        <f>INDEX($U$8:$U$15,MATCH(LARGE($R$8:$R$15,B9),$R$8:$R$15,0))</f>
        <v>2490000</v>
      </c>
      <c r="F9" s="14">
        <f>IFERROR(E9/$E$16,0)</f>
        <v>0.2044334975369458</v>
      </c>
      <c r="G9" s="25">
        <f>INDEX($V$8:$V$15,MATCH(LARGE($R$8:$R$15,B9),$R$8:$R$15,0))</f>
        <v>1330000</v>
      </c>
      <c r="H9" s="25">
        <f>INDEX($W$8:$W$15,MATCH(LARGE($R$8:$R$15,B9),$R$8:$R$15,0))</f>
        <v>32670</v>
      </c>
      <c r="I9" s="25">
        <f>INDEX($X$8:$X$15,MATCH(LARGE($R$8:$R$15,B9),$R$8:$R$15,0))</f>
        <v>234000</v>
      </c>
      <c r="J9" s="25">
        <f>INDEX($Y$8:$Y$15,MATCH(LARGE($R$8:$R$15,B9),$R$8:$R$15,0))</f>
        <v>0</v>
      </c>
      <c r="K9" s="12">
        <f>SUM(G9:J9)</f>
        <v>1596670</v>
      </c>
      <c r="L9" s="13">
        <f>E9-K9</f>
        <v>893330</v>
      </c>
      <c r="M9" s="14">
        <f>IFERROR(L9/E9,0)</f>
        <v>0.35876706827309235</v>
      </c>
      <c r="N9" s="12">
        <f>IF($G$4="매출액 비중 배분",ROUND($I$4*F9,0),IF($G$4="주문건수 비중 배분",ROUND($I$4*IFERROR(D9/$D$16,0),0),0))</f>
        <v>173768</v>
      </c>
      <c r="O9" s="12">
        <f>L9-N9</f>
        <v>719562</v>
      </c>
      <c r="P9" s="14">
        <f>IFERROR(O9/E9,0)</f>
        <v>0.2889807228915663</v>
      </c>
      <c r="R9" s="25">
        <f>IF($D$4="매출액 높은순",U9,IF($D$4="순이익 높은순",AA9,-ROW()))+(100-ROW())*0.00001</f>
        <v>1112800.00091</v>
      </c>
      <c r="S9" s="23" t="str">
        <f>'6_사용설명서_및_기준관리'!D7</f>
        <v>고흥유자농원</v>
      </c>
      <c r="T9" s="25">
        <f>SUMIFS('2_일일매출_입력'!$E$6:$E$505,'2_일일매출_입력'!$C$6:$C$505,S9,'2_일일매출_입력'!$B$6:$B$505,"&gt;="&amp;$B$4,'2_일일매출_입력'!$B$6:$B$505,"&lt;="&amp;$C$4)</f>
        <v>75</v>
      </c>
      <c r="U9" s="25">
        <f>SUMIFS('2_일일매출_입력'!$F$6:$F$505,'2_일일매출_입력'!$C$6:$C$505,S9,'2_일일매출_입력'!$B$6:$B$505,"&gt;="&amp;$B$4,'2_일일매출_입력'!$B$6:$B$505,"&lt;="&amp;$C$4)</f>
        <v>3175000</v>
      </c>
      <c r="V9" s="25">
        <f>SUMIFS('2_일일매출_입력'!$G$6:$G$505,'2_일일매출_입력'!$C$6:$C$505,S9,'2_일일매출_입력'!$B$6:$B$505,"&gt;="&amp;$B$4,'2_일일매출_입력'!$B$6:$B$505,"&lt;="&amp;$C$4)</f>
        <v>1590000</v>
      </c>
      <c r="W9" s="25">
        <f>SUMIFS('2_일일매출_입력'!$L$6:$L$505,'2_일일매출_입력'!$C$6:$C$505,S9,'2_일일매출_입력'!$B$6:$B$505,"&gt;="&amp;$B$4,'2_일일매출_입력'!$B$6:$B$505,"&lt;="&amp;$C$4)</f>
        <v>153400</v>
      </c>
      <c r="X9" s="25">
        <f>SUMIFS('2_일일매출_입력'!$N$6:$N$505,'2_일일매출_입력'!$C$6:$C$505,S9,'2_일일매출_입력'!$B$6:$B$505,"&gt;="&amp;$B$4,'2_일일매출_입력'!$B$6:$B$505,"&lt;="&amp;$C$4)</f>
        <v>318800</v>
      </c>
      <c r="Y9" s="25">
        <f>SUMIFS('2_일일매출_입력'!$H$6:$H$505,'2_일일매출_입력'!$C$6:$C$505,S9,'2_일일매출_입력'!$B$6:$B$505,"&gt;="&amp;$B$4,'2_일일매출_입력'!$B$6:$B$505,"&lt;="&amp;$C$4)</f>
        <v>0</v>
      </c>
      <c r="Z9" s="25">
        <f>SUM(V9:Y9)</f>
        <v>2062200</v>
      </c>
      <c r="AA9" s="25">
        <f>U9-Z9</f>
        <v>1112800</v>
      </c>
    </row>
    <row r="10">
      <c r="B10" s="10">
        <v>3</v>
      </c>
      <c r="C10" s="23" t="str">
        <f>INDEX($S$8:$S$15,MATCH(LARGE($R$8:$R$15,B10),$R$8:$R$15,0))</f>
        <v>남도바다수산</v>
      </c>
      <c r="D10" s="25">
        <f>INDEX($T$8:$T$15,MATCH(LARGE($R$8:$R$15,B10),$R$8:$R$15,0))</f>
        <v>38</v>
      </c>
      <c r="E10" s="25">
        <f>INDEX($U$8:$U$15,MATCH(LARGE($R$8:$R$15,B10),$R$8:$R$15,0))</f>
        <v>2000000</v>
      </c>
      <c r="F10" s="14">
        <f>IFERROR(E10/$E$16,0)</f>
        <v>0.16420361247947454</v>
      </c>
      <c r="G10" s="25">
        <f>INDEX($V$8:$V$15,MATCH(LARGE($R$8:$R$15,B10),$R$8:$R$15,0))</f>
        <v>1130000</v>
      </c>
      <c r="H10" s="25">
        <f>INDEX($W$8:$W$15,MATCH(LARGE($R$8:$R$15,B10),$R$8:$R$15,0))</f>
        <v>36000</v>
      </c>
      <c r="I10" s="25">
        <f>INDEX($X$8:$X$15,MATCH(LARGE($R$8:$R$15,B10),$R$8:$R$15,0))</f>
        <v>162000</v>
      </c>
      <c r="J10" s="25">
        <f>INDEX($Y$8:$Y$15,MATCH(LARGE($R$8:$R$15,B10),$R$8:$R$15,0))</f>
        <v>7000</v>
      </c>
      <c r="K10" s="12">
        <f>SUM(G10:J10)</f>
        <v>1335000</v>
      </c>
      <c r="L10" s="13">
        <f>E10-K10</f>
        <v>665000</v>
      </c>
      <c r="M10" s="14">
        <f>IFERROR(L10/E10,0)</f>
        <v>0.3325</v>
      </c>
      <c r="N10" s="12">
        <f>IF($G$4="매출액 비중 배분",ROUND($I$4*F10,0),IF($G$4="주문건수 비중 배분",ROUND($I$4*IFERROR(D10/$D$16,0),0),0))</f>
        <v>139573</v>
      </c>
      <c r="O10" s="12">
        <f>L10-N10</f>
        <v>525427</v>
      </c>
      <c r="P10" s="14">
        <f>IFERROR(O10/E10,0)</f>
        <v>0.2627135</v>
      </c>
      <c r="R10" s="25">
        <f>IF($D$4="매출액 높은순",U10,IF($D$4="순이익 높은순",AA10,-ROW()))+(100-ROW())*0.00001</f>
        <v>665000.0009</v>
      </c>
      <c r="S10" s="23" t="str">
        <f>'6_사용설명서_및_기준관리'!D8</f>
        <v>남도바다수산</v>
      </c>
      <c r="T10" s="25">
        <f>SUMIFS('2_일일매출_입력'!$E$6:$E$505,'2_일일매출_입력'!$C$6:$C$505,S10,'2_일일매출_입력'!$B$6:$B$505,"&gt;="&amp;$B$4,'2_일일매출_입력'!$B$6:$B$505,"&lt;="&amp;$C$4)</f>
        <v>38</v>
      </c>
      <c r="U10" s="25">
        <f>SUMIFS('2_일일매출_입력'!$F$6:$F$505,'2_일일매출_입력'!$C$6:$C$505,S10,'2_일일매출_입력'!$B$6:$B$505,"&gt;="&amp;$B$4,'2_일일매출_입력'!$B$6:$B$505,"&lt;="&amp;$C$4)</f>
        <v>2000000</v>
      </c>
      <c r="V10" s="25">
        <f>SUMIFS('2_일일매출_입력'!$G$6:$G$505,'2_일일매출_입력'!$C$6:$C$505,S10,'2_일일매출_입력'!$B$6:$B$505,"&gt;="&amp;$B$4,'2_일일매출_입력'!$B$6:$B$505,"&lt;="&amp;$C$4)</f>
        <v>1130000</v>
      </c>
      <c r="W10" s="25">
        <f>SUMIFS('2_일일매출_입력'!$L$6:$L$505,'2_일일매출_입력'!$C$6:$C$505,S10,'2_일일매출_입력'!$B$6:$B$505,"&gt;="&amp;$B$4,'2_일일매출_입력'!$B$6:$B$505,"&lt;="&amp;$C$4)</f>
        <v>36000</v>
      </c>
      <c r="X10" s="25">
        <f>SUMIFS('2_일일매출_입력'!$N$6:$N$505,'2_일일매출_입력'!$C$6:$C$505,S10,'2_일일매출_입력'!$B$6:$B$505,"&gt;="&amp;$B$4,'2_일일매출_입력'!$B$6:$B$505,"&lt;="&amp;$C$4)</f>
        <v>162000</v>
      </c>
      <c r="Y10" s="25">
        <f>SUMIFS('2_일일매출_입력'!$H$6:$H$505,'2_일일매출_입력'!$C$6:$C$505,S10,'2_일일매출_입력'!$B$6:$B$505,"&gt;="&amp;$B$4,'2_일일매출_입력'!$B$6:$B$505,"&lt;="&amp;$C$4)</f>
        <v>7000</v>
      </c>
      <c r="Z10" s="25">
        <f>SUM(V10:Y10)</f>
        <v>1335000</v>
      </c>
      <c r="AA10" s="25">
        <f>U10-Z10</f>
        <v>665000</v>
      </c>
    </row>
    <row r="11">
      <c r="B11" s="10">
        <v>4</v>
      </c>
      <c r="C11" s="23" t="str">
        <f>INDEX($S$8:$S$15,MATCH(LARGE($R$8:$R$15,B11),$R$8:$R$15,0))</f>
        <v>초록들녘농산</v>
      </c>
      <c r="D11" s="25">
        <f>INDEX($T$8:$T$15,MATCH(LARGE($R$8:$R$15,B11),$R$8:$R$15,0))</f>
        <v>28</v>
      </c>
      <c r="E11" s="25">
        <f>INDEX($U$8:$U$15,MATCH(LARGE($R$8:$R$15,B11),$R$8:$R$15,0))</f>
        <v>1260000</v>
      </c>
      <c r="F11" s="14">
        <f>IFERROR(E11/$E$16,0)</f>
        <v>0.10344827586206896</v>
      </c>
      <c r="G11" s="25">
        <f>INDEX($V$8:$V$15,MATCH(LARGE($R$8:$R$15,B11),$R$8:$R$15,0))</f>
        <v>680000</v>
      </c>
      <c r="H11" s="25">
        <f>INDEX($W$8:$W$15,MATCH(LARGE($R$8:$R$15,B11),$R$8:$R$15,0))</f>
        <v>63000</v>
      </c>
      <c r="I11" s="25">
        <f>INDEX($X$8:$X$15,MATCH(LARGE($R$8:$R$15,B11),$R$8:$R$15,0))</f>
        <v>117600</v>
      </c>
      <c r="J11" s="25">
        <f>INDEX($Y$8:$Y$15,MATCH(LARGE($R$8:$R$15,B11),$R$8:$R$15,0))</f>
        <v>0</v>
      </c>
      <c r="K11" s="12">
        <f>SUM(G11:J11)</f>
        <v>860600</v>
      </c>
      <c r="L11" s="13">
        <f>E11-K11</f>
        <v>399400</v>
      </c>
      <c r="M11" s="14">
        <f>IFERROR(L11/E11,0)</f>
        <v>0.316984126984127</v>
      </c>
      <c r="N11" s="12">
        <f>IF($G$4="매출액 비중 배분",ROUND($I$4*F11,0),IF($G$4="주문건수 비중 배분",ROUND($I$4*IFERROR(D11/$D$16,0),0),0))</f>
        <v>87931</v>
      </c>
      <c r="O11" s="12">
        <f>L11-N11</f>
        <v>311469</v>
      </c>
      <c r="P11" s="14">
        <f>IFERROR(O11/E11,0)</f>
        <v>0.24719761904761905</v>
      </c>
      <c r="R11" s="25">
        <f>IF($D$4="매출액 높은순",U11,IF($D$4="순이익 높은순",AA11,-ROW()))+(100-ROW())*0.00001</f>
        <v>372850.00089</v>
      </c>
      <c r="S11" s="23" t="str">
        <f>'6_사용설명서_및_기준관리'!D9</f>
        <v>해피푸드유통</v>
      </c>
      <c r="T11" s="25">
        <f>SUMIFS('2_일일매출_입력'!$E$6:$E$505,'2_일일매출_입력'!$C$6:$C$505,S11,'2_일일매출_입력'!$B$6:$B$505,"&gt;="&amp;$B$4,'2_일일매출_입력'!$B$6:$B$505,"&lt;="&amp;$C$4)</f>
        <v>25</v>
      </c>
      <c r="U11" s="25">
        <f>SUMIFS('2_일일매출_입력'!$F$6:$F$505,'2_일일매출_입력'!$C$6:$C$505,S11,'2_일일매출_입력'!$B$6:$B$505,"&gt;="&amp;$B$4,'2_일일매출_입력'!$B$6:$B$505,"&lt;="&amp;$C$4)</f>
        <v>1050000</v>
      </c>
      <c r="V11" s="25">
        <f>SUMIFS('2_일일매출_입력'!$G$6:$G$505,'2_일일매출_입력'!$C$6:$C$505,S11,'2_일일매출_입력'!$B$6:$B$505,"&gt;="&amp;$B$4,'2_일일매출_입력'!$B$6:$B$505,"&lt;="&amp;$C$4)</f>
        <v>530000</v>
      </c>
      <c r="W11" s="25">
        <f>SUMIFS('2_일일매출_입력'!$L$6:$L$505,'2_일일매출_입력'!$C$6:$C$505,S11,'2_일일매출_입력'!$B$6:$B$505,"&gt;="&amp;$B$4,'2_일일매출_입력'!$B$6:$B$505,"&lt;="&amp;$C$4)</f>
        <v>34650</v>
      </c>
      <c r="X11" s="25">
        <f>SUMIFS('2_일일매출_입력'!$N$6:$N$505,'2_일일매출_입력'!$C$6:$C$505,S11,'2_일일매출_입력'!$B$6:$B$505,"&gt;="&amp;$B$4,'2_일일매출_입력'!$B$6:$B$505,"&lt;="&amp;$C$4)</f>
        <v>112500</v>
      </c>
      <c r="Y11" s="25">
        <f>SUMIFS('2_일일매출_입력'!$H$6:$H$505,'2_일일매출_입력'!$C$6:$C$505,S11,'2_일일매출_입력'!$B$6:$B$505,"&gt;="&amp;$B$4,'2_일일매출_입력'!$B$6:$B$505,"&lt;="&amp;$C$4)</f>
        <v>0</v>
      </c>
      <c r="Z11" s="25">
        <f>SUM(V11:Y11)</f>
        <v>677150</v>
      </c>
      <c r="AA11" s="25">
        <f>U11-Z11</f>
        <v>372850</v>
      </c>
    </row>
    <row r="12">
      <c r="B12" s="10">
        <v>5</v>
      </c>
      <c r="C12" s="23" t="str">
        <f>INDEX($S$8:$S$15,MATCH(LARGE($R$8:$R$15,B12),$R$8:$R$15,0))</f>
        <v>해피푸드유통</v>
      </c>
      <c r="D12" s="25">
        <f>INDEX($T$8:$T$15,MATCH(LARGE($R$8:$R$15,B12),$R$8:$R$15,0))</f>
        <v>25</v>
      </c>
      <c r="E12" s="25">
        <f>INDEX($U$8:$U$15,MATCH(LARGE($R$8:$R$15,B12),$R$8:$R$15,0))</f>
        <v>1050000</v>
      </c>
      <c r="F12" s="14">
        <f>IFERROR(E12/$E$16,0)</f>
        <v>0.08620689655172414</v>
      </c>
      <c r="G12" s="25">
        <f>INDEX($V$8:$V$15,MATCH(LARGE($R$8:$R$15,B12),$R$8:$R$15,0))</f>
        <v>530000</v>
      </c>
      <c r="H12" s="25">
        <f>INDEX($W$8:$W$15,MATCH(LARGE($R$8:$R$15,B12),$R$8:$R$15,0))</f>
        <v>34650</v>
      </c>
      <c r="I12" s="25">
        <f>INDEX($X$8:$X$15,MATCH(LARGE($R$8:$R$15,B12),$R$8:$R$15,0))</f>
        <v>112500</v>
      </c>
      <c r="J12" s="25">
        <f>INDEX($Y$8:$Y$15,MATCH(LARGE($R$8:$R$15,B12),$R$8:$R$15,0))</f>
        <v>0</v>
      </c>
      <c r="K12" s="12">
        <f>SUM(G12:J12)</f>
        <v>677150</v>
      </c>
      <c r="L12" s="13">
        <f>E12-K12</f>
        <v>372850</v>
      </c>
      <c r="M12" s="14">
        <f>IFERROR(L12/E12,0)</f>
        <v>0.3550952380952381</v>
      </c>
      <c r="N12" s="12">
        <f>IF($G$4="매출액 비중 배분",ROUND($I$4*F12,0),IF($G$4="주문건수 비중 배분",ROUND($I$4*IFERROR(D12/$D$16,0),0),0))</f>
        <v>73276</v>
      </c>
      <c r="O12" s="12">
        <f>L12-N12</f>
        <v>299574</v>
      </c>
      <c r="P12" s="14">
        <f>IFERROR(O12/E12,0)</f>
        <v>0.2853085714285714</v>
      </c>
      <c r="R12" s="25">
        <f>IF($D$4="매출액 높은순",U12,IF($D$4="순이익 높은순",AA12,-ROW()))+(100-ROW())*0.00001</f>
        <v>399400.00088</v>
      </c>
      <c r="S12" s="23" t="str">
        <f>'6_사용설명서_및_기준관리'!D10</f>
        <v>초록들녘농산</v>
      </c>
      <c r="T12" s="25">
        <f>SUMIFS('2_일일매출_입력'!$E$6:$E$505,'2_일일매출_입력'!$C$6:$C$505,S12,'2_일일매출_입력'!$B$6:$B$505,"&gt;="&amp;$B$4,'2_일일매출_입력'!$B$6:$B$505,"&lt;="&amp;$C$4)</f>
        <v>28</v>
      </c>
      <c r="U12" s="25">
        <f>SUMIFS('2_일일매출_입력'!$F$6:$F$505,'2_일일매출_입력'!$C$6:$C$505,S12,'2_일일매출_입력'!$B$6:$B$505,"&gt;="&amp;$B$4,'2_일일매출_입력'!$B$6:$B$505,"&lt;="&amp;$C$4)</f>
        <v>1260000</v>
      </c>
      <c r="V12" s="25">
        <f>SUMIFS('2_일일매출_입력'!$G$6:$G$505,'2_일일매출_입력'!$C$6:$C$505,S12,'2_일일매출_입력'!$B$6:$B$505,"&gt;="&amp;$B$4,'2_일일매출_입력'!$B$6:$B$505,"&lt;="&amp;$C$4)</f>
        <v>680000</v>
      </c>
      <c r="W12" s="25">
        <f>SUMIFS('2_일일매출_입력'!$L$6:$L$505,'2_일일매출_입력'!$C$6:$C$505,S12,'2_일일매출_입력'!$B$6:$B$505,"&gt;="&amp;$B$4,'2_일일매출_입력'!$B$6:$B$505,"&lt;="&amp;$C$4)</f>
        <v>63000</v>
      </c>
      <c r="X12" s="25">
        <f>SUMIFS('2_일일매출_입력'!$N$6:$N$505,'2_일일매출_입력'!$C$6:$C$505,S12,'2_일일매출_입력'!$B$6:$B$505,"&gt;="&amp;$B$4,'2_일일매출_입력'!$B$6:$B$505,"&lt;="&amp;$C$4)</f>
        <v>117600</v>
      </c>
      <c r="Y12" s="25">
        <f>SUMIFS('2_일일매출_입력'!$H$6:$H$505,'2_일일매출_입력'!$C$6:$C$505,S12,'2_일일매출_입력'!$B$6:$B$505,"&gt;="&amp;$B$4,'2_일일매출_입력'!$B$6:$B$505,"&lt;="&amp;$C$4)</f>
        <v>0</v>
      </c>
      <c r="Z12" s="25">
        <f>SUM(V12:Y12)</f>
        <v>860600</v>
      </c>
      <c r="AA12" s="25">
        <f>U12-Z12</f>
        <v>399400</v>
      </c>
    </row>
    <row r="13">
      <c r="B13" s="10">
        <v>6</v>
      </c>
      <c r="C13" s="23" t="str">
        <f>INDEX($S$8:$S$15,MATCH(LARGE($R$8:$R$15,B13),$R$8:$R$15,0))</f>
        <v>우리동네직판장</v>
      </c>
      <c r="D13" s="25">
        <f>INDEX($T$8:$T$15,MATCH(LARGE($R$8:$R$15,B13),$R$8:$R$15,0))</f>
        <v>60</v>
      </c>
      <c r="E13" s="25">
        <f>INDEX($U$8:$U$15,MATCH(LARGE($R$8:$R$15,B13),$R$8:$R$15,0))</f>
        <v>1080000</v>
      </c>
      <c r="F13" s="14">
        <f>IFERROR(E13/$E$16,0)</f>
        <v>0.08866995073891626</v>
      </c>
      <c r="G13" s="25">
        <f>INDEX($V$8:$V$15,MATCH(LARGE($R$8:$R$15,B13),$R$8:$R$15,0))</f>
        <v>590000</v>
      </c>
      <c r="H13" s="25">
        <f>INDEX($W$8:$W$15,MATCH(LARGE($R$8:$R$15,B13),$R$8:$R$15,0))</f>
        <v>108000</v>
      </c>
      <c r="I13" s="25">
        <f>INDEX($X$8:$X$15,MATCH(LARGE($R$8:$R$15,B13),$R$8:$R$15,0))</f>
        <v>42000</v>
      </c>
      <c r="J13" s="25">
        <f>INDEX($Y$8:$Y$15,MATCH(LARGE($R$8:$R$15,B13),$R$8:$R$15,0))</f>
        <v>0</v>
      </c>
      <c r="K13" s="12">
        <f>SUM(G13:J13)</f>
        <v>740000</v>
      </c>
      <c r="L13" s="13">
        <f>E13-K13</f>
        <v>340000</v>
      </c>
      <c r="M13" s="14">
        <f>IFERROR(L13/E13,0)</f>
        <v>0.3148148148148148</v>
      </c>
      <c r="N13" s="12">
        <f>IF($G$4="매출액 비중 배분",ROUND($I$4*F13,0),IF($G$4="주문건수 비중 배분",ROUND($I$4*IFERROR(D13/$D$16,0),0),0))</f>
        <v>75369</v>
      </c>
      <c r="O13" s="12">
        <f>L13-N13</f>
        <v>264631</v>
      </c>
      <c r="P13" s="14">
        <f>IFERROR(O13/E13,0)</f>
        <v>0.2450287037037037</v>
      </c>
      <c r="R13" s="25">
        <f>IF($D$4="매출액 높은순",U13,IF($D$4="순이익 높은순",AA13,-ROW()))+(100-ROW())*0.00001</f>
        <v>-86849.99913</v>
      </c>
      <c r="S13" s="23" t="str">
        <f>'6_사용설명서_및_기준관리'!D11</f>
        <v>바른먹거리장터</v>
      </c>
      <c r="T13" s="25">
        <f>SUMIFS('2_일일매출_입력'!$E$6:$E$505,'2_일일매출_입력'!$C$6:$C$505,S13,'2_일일매출_입력'!$B$6:$B$505,"&gt;="&amp;$B$4,'2_일일매출_입력'!$B$6:$B$505,"&lt;="&amp;$C$4)</f>
        <v>25</v>
      </c>
      <c r="U13" s="25">
        <f>SUMIFS('2_일일매출_입력'!$F$6:$F$505,'2_일일매출_입력'!$C$6:$C$505,S13,'2_일일매출_입력'!$B$6:$B$505,"&gt;="&amp;$B$4,'2_일일매출_입력'!$B$6:$B$505,"&lt;="&amp;$C$4)</f>
        <v>450000</v>
      </c>
      <c r="V13" s="25">
        <f>SUMIFS('2_일일매출_입력'!$G$6:$G$505,'2_일일매출_입력'!$C$6:$C$505,S13,'2_일일매출_입력'!$B$6:$B$505,"&gt;="&amp;$B$4,'2_일일매출_입력'!$B$6:$B$505,"&lt;="&amp;$C$4)</f>
        <v>360000</v>
      </c>
      <c r="W13" s="25">
        <f>SUMIFS('2_일일매출_입력'!$L$6:$L$505,'2_일일매출_입력'!$C$6:$C$505,S13,'2_일일매출_입력'!$B$6:$B$505,"&gt;="&amp;$B$4,'2_일일매출_입력'!$B$6:$B$505,"&lt;="&amp;$C$4)</f>
        <v>26100</v>
      </c>
      <c r="X13" s="25">
        <f>SUMIFS('2_일일매출_입력'!$N$6:$N$505,'2_일일매출_입력'!$C$6:$C$505,S13,'2_일일매출_입력'!$B$6:$B$505,"&gt;="&amp;$B$4,'2_일일매출_입력'!$B$6:$B$505,"&lt;="&amp;$C$4)</f>
        <v>120750</v>
      </c>
      <c r="Y13" s="25">
        <f>SUMIFS('2_일일매출_입력'!$H$6:$H$505,'2_일일매출_입력'!$C$6:$C$505,S13,'2_일일매출_입력'!$B$6:$B$505,"&gt;="&amp;$B$4,'2_일일매출_입력'!$B$6:$B$505,"&lt;="&amp;$C$4)</f>
        <v>30000</v>
      </c>
      <c r="Z13" s="25">
        <f>SUM(V13:Y13)</f>
        <v>536850</v>
      </c>
      <c r="AA13" s="25">
        <f>U13-Z13</f>
        <v>-86850</v>
      </c>
    </row>
    <row r="14">
      <c r="B14" s="10">
        <v>7</v>
      </c>
      <c r="C14" s="23" t="str">
        <f>INDEX($S$8:$S$15,MATCH(LARGE($R$8:$R$15,B14),$R$8:$R$15,0))</f>
        <v>자체직영(소비자)</v>
      </c>
      <c r="D14" s="25">
        <f>INDEX($T$8:$T$15,MATCH(LARGE($R$8:$R$15,B14),$R$8:$R$15,0))</f>
        <v>15</v>
      </c>
      <c r="E14" s="25">
        <f>INDEX($U$8:$U$15,MATCH(LARGE($R$8:$R$15,B14),$R$8:$R$15,0))</f>
        <v>675000</v>
      </c>
      <c r="F14" s="14">
        <f>IFERROR(E14/$E$16,0)</f>
        <v>0.05541871921182266</v>
      </c>
      <c r="G14" s="25">
        <f>INDEX($V$8:$V$15,MATCH(LARGE($R$8:$R$15,B14),$R$8:$R$15,0))</f>
        <v>320000</v>
      </c>
      <c r="H14" s="25">
        <f>INDEX($W$8:$W$15,MATCH(LARGE($R$8:$R$15,B14),$R$8:$R$15,0))</f>
        <v>20250</v>
      </c>
      <c r="I14" s="25">
        <f>INDEX($X$8:$X$15,MATCH(LARGE($R$8:$R$15,B14),$R$8:$R$15,0))</f>
        <v>64500</v>
      </c>
      <c r="J14" s="25">
        <f>INDEX($Y$8:$Y$15,MATCH(LARGE($R$8:$R$15,B14),$R$8:$R$15,0))</f>
        <v>0</v>
      </c>
      <c r="K14" s="12">
        <f>SUM(G14:J14)</f>
        <v>404750</v>
      </c>
      <c r="L14" s="13">
        <f>E14-K14</f>
        <v>270250</v>
      </c>
      <c r="M14" s="14">
        <f>IFERROR(L14/E14,0)</f>
        <v>0.4003703703703704</v>
      </c>
      <c r="N14" s="12">
        <f>IF($G$4="매출액 비중 배분",ROUND($I$4*F14,0),IF($G$4="주문건수 비중 배분",ROUND($I$4*IFERROR(D14/$D$16,0),0),0))</f>
        <v>47106</v>
      </c>
      <c r="O14" s="12">
        <f>L14-N14</f>
        <v>223144</v>
      </c>
      <c r="P14" s="14">
        <f>IFERROR(O14/E14,0)</f>
        <v>0.3305837037037037</v>
      </c>
      <c r="R14" s="25">
        <f>IF($D$4="매출액 높은순",U14,IF($D$4="순이익 높은순",AA14,-ROW()))+(100-ROW())*0.00001</f>
        <v>340000.00086</v>
      </c>
      <c r="S14" s="23" t="str">
        <f>'6_사용설명서_및_기준관리'!D12</f>
        <v>우리동네직판장</v>
      </c>
      <c r="T14" s="25">
        <f>SUMIFS('2_일일매출_입력'!$E$6:$E$505,'2_일일매출_입력'!$C$6:$C$505,S14,'2_일일매출_입력'!$B$6:$B$505,"&gt;="&amp;$B$4,'2_일일매출_입력'!$B$6:$B$505,"&lt;="&amp;$C$4)</f>
        <v>60</v>
      </c>
      <c r="U14" s="25">
        <f>SUMIFS('2_일일매출_입력'!$F$6:$F$505,'2_일일매출_입력'!$C$6:$C$505,S14,'2_일일매출_입력'!$B$6:$B$505,"&gt;="&amp;$B$4,'2_일일매출_입력'!$B$6:$B$505,"&lt;="&amp;$C$4)</f>
        <v>1080000</v>
      </c>
      <c r="V14" s="25">
        <f>SUMIFS('2_일일매출_입력'!$G$6:$G$505,'2_일일매출_입력'!$C$6:$C$505,S14,'2_일일매출_입력'!$B$6:$B$505,"&gt;="&amp;$B$4,'2_일일매출_입력'!$B$6:$B$505,"&lt;="&amp;$C$4)</f>
        <v>590000</v>
      </c>
      <c r="W14" s="25">
        <f>SUMIFS('2_일일매출_입력'!$L$6:$L$505,'2_일일매출_입력'!$C$6:$C$505,S14,'2_일일매출_입력'!$B$6:$B$505,"&gt;="&amp;$B$4,'2_일일매출_입력'!$B$6:$B$505,"&lt;="&amp;$C$4)</f>
        <v>108000</v>
      </c>
      <c r="X14" s="25">
        <f>SUMIFS('2_일일매출_입력'!$N$6:$N$505,'2_일일매출_입력'!$C$6:$C$505,S14,'2_일일매출_입력'!$B$6:$B$505,"&gt;="&amp;$B$4,'2_일일매출_입력'!$B$6:$B$505,"&lt;="&amp;$C$4)</f>
        <v>42000</v>
      </c>
      <c r="Y14" s="25">
        <f>SUMIFS('2_일일매출_입력'!$H$6:$H$505,'2_일일매출_입력'!$C$6:$C$505,S14,'2_일일매출_입력'!$B$6:$B$505,"&gt;="&amp;$B$4,'2_일일매출_입력'!$B$6:$B$505,"&lt;="&amp;$C$4)</f>
        <v>0</v>
      </c>
      <c r="Z14" s="25">
        <f>SUM(V14:Y14)</f>
        <v>740000</v>
      </c>
      <c r="AA14" s="25">
        <f>U14-Z14</f>
        <v>340000</v>
      </c>
    </row>
    <row r="15">
      <c r="B15" s="10">
        <v>8</v>
      </c>
      <c r="C15" s="23" t="str">
        <f>INDEX($S$8:$S$15,MATCH(LARGE($R$8:$R$15,B15),$R$8:$R$15,0))</f>
        <v>바른먹거리장터</v>
      </c>
      <c r="D15" s="25">
        <f>INDEX($T$8:$T$15,MATCH(LARGE($R$8:$R$15,B15),$R$8:$R$15,0))</f>
        <v>25</v>
      </c>
      <c r="E15" s="25">
        <f>INDEX($U$8:$U$15,MATCH(LARGE($R$8:$R$15,B15),$R$8:$R$15,0))</f>
        <v>450000</v>
      </c>
      <c r="F15" s="14">
        <f>IFERROR(E15/$E$16,0)</f>
        <v>0.03694581280788178</v>
      </c>
      <c r="G15" s="25">
        <f>INDEX($V$8:$V$15,MATCH(LARGE($R$8:$R$15,B15),$R$8:$R$15,0))</f>
        <v>360000</v>
      </c>
      <c r="H15" s="25">
        <f>INDEX($W$8:$W$15,MATCH(LARGE($R$8:$R$15,B15),$R$8:$R$15,0))</f>
        <v>26100</v>
      </c>
      <c r="I15" s="25">
        <f>INDEX($X$8:$X$15,MATCH(LARGE($R$8:$R$15,B15),$R$8:$R$15,0))</f>
        <v>120750</v>
      </c>
      <c r="J15" s="25">
        <f>INDEX($Y$8:$Y$15,MATCH(LARGE($R$8:$R$15,B15),$R$8:$R$15,0))</f>
        <v>30000</v>
      </c>
      <c r="K15" s="12">
        <f>SUM(G15:J15)</f>
        <v>536850</v>
      </c>
      <c r="L15" s="13">
        <f>E15-K15</f>
        <v>-86850</v>
      </c>
      <c r="M15" s="14">
        <f>IFERROR(L15/E15,0)</f>
        <v>-0.193</v>
      </c>
      <c r="N15" s="12">
        <f>IF($G$4="매출액 비중 배분",ROUND($I$4*F15,0),IF($G$4="주문건수 비중 배분",ROUND($I$4*IFERROR(D15/$D$16,0),0),0))</f>
        <v>31404</v>
      </c>
      <c r="O15" s="12">
        <f>L15-N15</f>
        <v>-118254</v>
      </c>
      <c r="P15" s="14">
        <f>IFERROR(O15/E15,0)</f>
        <v>-0.26278666666666667</v>
      </c>
      <c r="R15" s="25">
        <f>IF($D$4="매출액 높은순",U15,IF($D$4="순이익 높은순",AA15,-ROW()))+(100-ROW())*0.00001</f>
        <v>270250.00085</v>
      </c>
      <c r="S15" s="23" t="str">
        <f>'6_사용설명서_및_기준관리'!D13</f>
        <v>자체직영(소비자)</v>
      </c>
      <c r="T15" s="25">
        <f>SUMIFS('2_일일매출_입력'!$E$6:$E$505,'2_일일매출_입력'!$C$6:$C$505,S15,'2_일일매출_입력'!$B$6:$B$505,"&gt;="&amp;$B$4,'2_일일매출_입력'!$B$6:$B$505,"&lt;="&amp;$C$4)</f>
        <v>15</v>
      </c>
      <c r="U15" s="25">
        <f>SUMIFS('2_일일매출_입력'!$F$6:$F$505,'2_일일매출_입력'!$C$6:$C$505,S15,'2_일일매출_입력'!$B$6:$B$505,"&gt;="&amp;$B$4,'2_일일매출_입력'!$B$6:$B$505,"&lt;="&amp;$C$4)</f>
        <v>675000</v>
      </c>
      <c r="V15" s="25">
        <f>SUMIFS('2_일일매출_입력'!$G$6:$G$505,'2_일일매출_입력'!$C$6:$C$505,S15,'2_일일매출_입력'!$B$6:$B$505,"&gt;="&amp;$B$4,'2_일일매출_입력'!$B$6:$B$505,"&lt;="&amp;$C$4)</f>
        <v>320000</v>
      </c>
      <c r="W15" s="25">
        <f>SUMIFS('2_일일매출_입력'!$L$6:$L$505,'2_일일매출_입력'!$C$6:$C$505,S15,'2_일일매출_입력'!$B$6:$B$505,"&gt;="&amp;$B$4,'2_일일매출_입력'!$B$6:$B$505,"&lt;="&amp;$C$4)</f>
        <v>20250</v>
      </c>
      <c r="X15" s="25">
        <f>SUMIFS('2_일일매출_입력'!$N$6:$N$505,'2_일일매출_입력'!$C$6:$C$505,S15,'2_일일매출_입력'!$B$6:$B$505,"&gt;="&amp;$B$4,'2_일일매출_입력'!$B$6:$B$505,"&lt;="&amp;$C$4)</f>
        <v>64500</v>
      </c>
      <c r="Y15" s="25">
        <f>SUMIFS('2_일일매출_입력'!$H$6:$H$505,'2_일일매출_입력'!$C$6:$C$505,S15,'2_일일매출_입력'!$B$6:$B$505,"&gt;="&amp;$B$4,'2_일일매출_입력'!$B$6:$B$505,"&lt;="&amp;$C$4)</f>
        <v>0</v>
      </c>
      <c r="Z15" s="25">
        <f>SUM(V15:Y15)</f>
        <v>404750</v>
      </c>
      <c r="AA15" s="25">
        <f>U15-Z15</f>
        <v>270250</v>
      </c>
    </row>
    <row r="16">
      <c r="B16" s="16" t="inlineStr">
        <is>
          <t>합계</t>
        </is>
      </c>
      <c r="C16" s="16" t="inlineStr">
        <is>
          <t>전체 8개 거래처</t>
        </is>
      </c>
      <c r="D16" s="17">
        <f>SUM(D8:D15)</f>
        <v>318</v>
      </c>
      <c r="E16" s="17">
        <f>SUM(E8:E15)</f>
        <v>12180000</v>
      </c>
      <c r="F16" s="18">
        <f>IFERROR(SUM(F8:F15),0)</f>
        <v>1</v>
      </c>
      <c r="G16" s="17">
        <f>SUM(G8:G15)</f>
        <v>6530000</v>
      </c>
      <c r="H16" s="17">
        <f>SUM(H8:H15)</f>
        <v>474070</v>
      </c>
      <c r="I16" s="17">
        <f>SUM(I8:I15)</f>
        <v>1172150</v>
      </c>
      <c r="J16" s="17">
        <f>SUM(J8:J15)</f>
        <v>37000</v>
      </c>
      <c r="K16" s="17">
        <f>SUM(K8:K15)</f>
        <v>8213220</v>
      </c>
      <c r="L16" s="17">
        <f>E16-K16</f>
        <v>3966780</v>
      </c>
      <c r="M16" s="18">
        <f>IFERROR(L16/E16,0)</f>
        <v>0.325679802955665</v>
      </c>
      <c r="N16" s="17">
        <f>SUM(N8:N15)</f>
        <v>850000</v>
      </c>
      <c r="O16" s="17">
        <f>L16-N16</f>
        <v>3116780</v>
      </c>
      <c r="P16" s="18">
        <f>IFERROR(O16/E16,0)</f>
        <v>0.25589326765188836</v>
      </c>
    </row>
    <row r="18" ht="24" customHeight="1">
      <c r="B18" s="2" t="inlineStr">
        <is>
          <t>🛒 2. 판매채널별 손익 분석표 (동일 기간 채널별 매출·비용·순이익 비교)</t>
        </is>
      </c>
    </row>
    <row r="19" ht="28" customHeight="1">
      <c r="B19" s="4" t="inlineStr">
        <is>
          <t>순위</t>
        </is>
      </c>
      <c r="C19" s="4" t="inlineStr">
        <is>
          <t>판매채널명</t>
        </is>
      </c>
      <c r="D19" s="4" t="inlineStr">
        <is>
          <t>주문건수</t>
        </is>
      </c>
      <c r="E19" s="4" t="inlineStr">
        <is>
          <t>매출액 (원)</t>
        </is>
      </c>
      <c r="F19" s="4" t="inlineStr">
        <is>
          <t>매출 비중</t>
        </is>
      </c>
      <c r="G19" s="4" t="inlineStr">
        <is>
          <t>상품 총원가</t>
        </is>
      </c>
      <c r="H19" s="4" t="inlineStr">
        <is>
          <t>매출액 수수료</t>
        </is>
      </c>
      <c r="I19" s="4" t="inlineStr">
        <is>
          <t>주문건수 비용</t>
        </is>
      </c>
      <c r="J19" s="4" t="inlineStr">
        <is>
          <t>추가 비용</t>
        </is>
      </c>
      <c r="K19" s="4" t="inlineStr">
        <is>
          <t>총비용
(공통비 제외)</t>
        </is>
      </c>
      <c r="L19" s="4" t="inlineStr">
        <is>
          <t>순이익
(공통비 전)</t>
        </is>
      </c>
      <c r="M19" s="4" t="inlineStr">
        <is>
          <t>순이익률
(공통비 전)</t>
        </is>
      </c>
      <c r="N19" s="4" t="inlineStr">
        <is>
          <t>공통비용
배분액</t>
        </is>
      </c>
      <c r="O19" s="4" t="inlineStr">
        <is>
          <t>최종 순이익
(공통비 후)</t>
        </is>
      </c>
      <c r="P19" s="4" t="inlineStr">
        <is>
          <t>최종 이익률
(공통비 후)</t>
        </is>
      </c>
      <c r="R19" s="19" t="inlineStr">
        <is>
          <t>정렬점수</t>
        </is>
      </c>
      <c r="S19" s="19" t="inlineStr">
        <is>
          <t>항목명</t>
        </is>
      </c>
      <c r="T19" s="19" t="inlineStr">
        <is>
          <t>주문건수</t>
        </is>
      </c>
      <c r="U19" s="19" t="inlineStr">
        <is>
          <t>매출액</t>
        </is>
      </c>
      <c r="V19" s="19" t="inlineStr">
        <is>
          <t>상품원가</t>
        </is>
      </c>
      <c r="W19" s="19" t="inlineStr">
        <is>
          <t>매출수수료</t>
        </is>
      </c>
      <c r="X19" s="19" t="inlineStr">
        <is>
          <t>건수비용</t>
        </is>
      </c>
      <c r="Y19" s="19" t="inlineStr">
        <is>
          <t>추가비용</t>
        </is>
      </c>
      <c r="Z19" s="19" t="inlineStr">
        <is>
          <t>총비용</t>
        </is>
      </c>
      <c r="AA19" s="19" t="inlineStr">
        <is>
          <t>순이익</t>
        </is>
      </c>
    </row>
    <row r="20">
      <c r="B20" s="10">
        <v>1</v>
      </c>
      <c r="C20" s="23" t="str">
        <f>INDEX($S$20:$S$26,MATCH(LARGE($R$20:$R$26,B20),$R$20:$R$26,0))</f>
        <v>농라</v>
      </c>
      <c r="D20" s="25">
        <f>INDEX($T$20:$T$26,MATCH(LARGE($R$20:$R$26,B20),$R$20:$R$26,0))</f>
        <v>50</v>
      </c>
      <c r="E20" s="25">
        <f>INDEX($U$20:$U$26,MATCH(LARGE($R$20:$R$26,B20),$R$20:$R$26,0))</f>
        <v>2600000</v>
      </c>
      <c r="F20" s="14">
        <f>IFERROR(E20/$E$27,0)</f>
        <v>0.2134646962233169</v>
      </c>
      <c r="G20" s="25">
        <f>INDEX($V$20:$V$26,MATCH(LARGE($R$20:$R$26,B20),$R$20:$R$26,0))</f>
        <v>1460000</v>
      </c>
      <c r="H20" s="25">
        <f>INDEX($W$20:$W$26,MATCH(LARGE($R$20:$R$26,B20),$R$20:$R$26,0))</f>
        <v>0</v>
      </c>
      <c r="I20" s="25">
        <f>INDEX($X$20:$X$26,MATCH(LARGE($R$20:$R$26,B20),$R$20:$R$26,0))</f>
        <v>225000</v>
      </c>
      <c r="J20" s="25">
        <f>INDEX($Y$20:$Y$26,MATCH(LARGE($R$20:$R$26,B20),$R$20:$R$26,0))</f>
        <v>0</v>
      </c>
      <c r="K20" s="12">
        <f>SUM(G20:J20)</f>
        <v>1685000</v>
      </c>
      <c r="L20" s="13">
        <f>E20-K20</f>
        <v>915000</v>
      </c>
      <c r="M20" s="14">
        <f>IFERROR(L20/E20,0)</f>
        <v>0.35192307692307695</v>
      </c>
      <c r="N20" s="12">
        <f>IF($G$4="매출액 비중 배분",ROUND($I$4*F20,0),IF($G$4="주문건수 비중 배분",ROUND($I$4*IFERROR(D20/$D$27,0),0),0))</f>
        <v>181445</v>
      </c>
      <c r="O20" s="12">
        <f>L20-N20</f>
        <v>733555</v>
      </c>
      <c r="P20" s="14">
        <f>IFERROR(O20/E20,0)</f>
        <v>0.28213653846153847</v>
      </c>
      <c r="R20" s="25">
        <f>IF($D$4="매출액 높은순",U20,IF($D$4="순이익 높은순",AA20,-ROW()))+(100-ROW())*0.00001</f>
        <v>915000.0008</v>
      </c>
      <c r="S20" s="23" t="str">
        <f>'6_사용설명서_및_기준관리'!B6</f>
        <v>농라</v>
      </c>
      <c r="T20" s="25">
        <f>SUMIFS('2_일일매출_입력'!$E$6:$E$505,'2_일일매출_입력'!$D$6:$D$505,S20,'2_일일매출_입력'!$B$6:$B$505,"&gt;="&amp;$B$4,'2_일일매출_입력'!$B$6:$B$505,"&lt;="&amp;$C$4)</f>
        <v>50</v>
      </c>
      <c r="U20" s="25">
        <f>SUMIFS('2_일일매출_입력'!$F$6:$F$505,'2_일일매출_입력'!$D$6:$D$505,S20,'2_일일매출_입력'!$B$6:$B$505,"&gt;="&amp;$B$4,'2_일일매출_입력'!$B$6:$B$505,"&lt;="&amp;$C$4)</f>
        <v>2600000</v>
      </c>
      <c r="V20" s="25">
        <f>SUMIFS('2_일일매출_입력'!$G$6:$G$505,'2_일일매출_입력'!$D$6:$D$505,S20,'2_일일매출_입력'!$B$6:$B$505,"&gt;="&amp;$B$4,'2_일일매출_입력'!$B$6:$B$505,"&lt;="&amp;$C$4)</f>
        <v>1460000</v>
      </c>
      <c r="W20" s="25">
        <f>SUMIFS('2_일일매출_입력'!$L$6:$L$505,'2_일일매출_입력'!$D$6:$D$505,S20,'2_일일매출_입력'!$B$6:$B$505,"&gt;="&amp;$B$4,'2_일일매출_입력'!$B$6:$B$505,"&lt;="&amp;$C$4)</f>
        <v>0</v>
      </c>
      <c r="X20" s="25">
        <f>SUMIFS('2_일일매출_입력'!$N$6:$N$505,'2_일일매출_입력'!$D$6:$D$505,S20,'2_일일매출_입력'!$B$6:$B$505,"&gt;="&amp;$B$4,'2_일일매출_입력'!$B$6:$B$505,"&lt;="&amp;$C$4)</f>
        <v>225000</v>
      </c>
      <c r="Y20" s="25">
        <f>SUMIFS('2_일일매출_입력'!$H$6:$H$505,'2_일일매출_입력'!$D$6:$D$505,S20,'2_일일매출_입력'!$B$6:$B$505,"&gt;="&amp;$B$4,'2_일일매출_입력'!$B$6:$B$505,"&lt;="&amp;$C$4)</f>
        <v>0</v>
      </c>
      <c r="Z20" s="25">
        <f>SUM(V20:Y20)</f>
        <v>1685000</v>
      </c>
      <c r="AA20" s="25">
        <f>U20-Z20</f>
        <v>915000</v>
      </c>
    </row>
    <row r="21">
      <c r="B21" s="10">
        <v>2</v>
      </c>
      <c r="C21" s="23" t="str">
        <f>INDEX($S$20:$S$26,MATCH(LARGE($R$20:$R$26,B21),$R$20:$R$26,0))</f>
        <v>고흥몰</v>
      </c>
      <c r="D21" s="25">
        <f>INDEX($T$20:$T$26,MATCH(LARGE($R$20:$R$26,B21),$R$20:$R$26,0))</f>
        <v>53</v>
      </c>
      <c r="E21" s="25">
        <f>INDEX($U$20:$U$26,MATCH(LARGE($R$20:$R$26,B21),$R$20:$R$26,0))</f>
        <v>2475000</v>
      </c>
      <c r="F21" s="14">
        <f>IFERROR(E21/$E$27,0)</f>
        <v>0.20320197044334976</v>
      </c>
      <c r="G21" s="25">
        <f>INDEX($V$20:$V$26,MATCH(LARGE($R$20:$R$26,B21),$R$20:$R$26,0))</f>
        <v>1280000</v>
      </c>
      <c r="H21" s="25">
        <f>INDEX($W$20:$W$26,MATCH(LARGE($R$20:$R$26,B21),$R$20:$R$26,0))</f>
        <v>99000</v>
      </c>
      <c r="I21" s="25">
        <f>INDEX($X$20:$X$26,MATCH(LARGE($R$20:$R$26,B21),$R$20:$R$26,0))</f>
        <v>212000</v>
      </c>
      <c r="J21" s="25">
        <f>INDEX($Y$20:$Y$26,MATCH(LARGE($R$20:$R$26,B21),$R$20:$R$26,0))</f>
        <v>7000</v>
      </c>
      <c r="K21" s="12">
        <f>SUM(G21:J21)</f>
        <v>1598000</v>
      </c>
      <c r="L21" s="13">
        <f>E21-K21</f>
        <v>877000</v>
      </c>
      <c r="M21" s="14">
        <f>IFERROR(L21/E21,0)</f>
        <v>0.35434343434343435</v>
      </c>
      <c r="N21" s="12">
        <f>IF($G$4="매출액 비중 배분",ROUND($I$4*F21,0),IF($G$4="주문건수 비중 배분",ROUND($I$4*IFERROR(D21/$D$27,0),0),0))</f>
        <v>172722</v>
      </c>
      <c r="O21" s="12">
        <f>L21-N21</f>
        <v>704278</v>
      </c>
      <c r="P21" s="14">
        <f>IFERROR(O21/E21,0)</f>
        <v>0.2845567676767677</v>
      </c>
      <c r="R21" s="25">
        <f>IF($D$4="매출액 높은순",U21,IF($D$4="순이익 높은순",AA21,-ROW()))+(100-ROW())*0.00001</f>
        <v>443950.00079</v>
      </c>
      <c r="S21" s="23" t="str">
        <f>'6_사용설명서_및_기준관리'!B7</f>
        <v>스마트스토어</v>
      </c>
      <c r="T21" s="25">
        <f>SUMIFS('2_일일매출_입력'!$E$6:$E$505,'2_일일매출_입력'!$D$6:$D$505,S21,'2_일일매출_입력'!$B$6:$B$505,"&gt;="&amp;$B$4,'2_일일매출_입력'!$B$6:$B$505,"&lt;="&amp;$C$4)</f>
        <v>65</v>
      </c>
      <c r="U21" s="25">
        <f>SUMIFS('2_일일매출_입력'!$F$6:$F$505,'2_일일매출_입력'!$D$6:$D$505,S21,'2_일일매출_입력'!$B$6:$B$505,"&gt;="&amp;$B$4,'2_일일매출_입력'!$B$6:$B$505,"&lt;="&amp;$C$4)</f>
        <v>2050000</v>
      </c>
      <c r="V21" s="25">
        <f>SUMIFS('2_일일매출_입력'!$G$6:$G$505,'2_일일매출_입력'!$D$6:$D$505,S21,'2_일일매출_입력'!$B$6:$B$505,"&gt;="&amp;$B$4,'2_일일매출_입력'!$B$6:$B$505,"&lt;="&amp;$C$4)</f>
        <v>1160000</v>
      </c>
      <c r="W21" s="25">
        <f>SUMIFS('2_일일매출_입력'!$L$6:$L$505,'2_일일매출_입력'!$D$6:$D$505,S21,'2_일일매출_입력'!$B$6:$B$505,"&gt;="&amp;$B$4,'2_일일매출_입력'!$B$6:$B$505,"&lt;="&amp;$C$4)</f>
        <v>116500</v>
      </c>
      <c r="X21" s="25">
        <f>SUMIFS('2_일일매출_입력'!$N$6:$N$505,'2_일일매출_입력'!$D$6:$D$505,S21,'2_일일매출_입력'!$B$6:$B$505,"&gt;="&amp;$B$4,'2_일일매출_입력'!$B$6:$B$505,"&lt;="&amp;$C$4)</f>
        <v>299550</v>
      </c>
      <c r="Y21" s="25">
        <f>SUMIFS('2_일일매출_입력'!$H$6:$H$505,'2_일일매출_입력'!$D$6:$D$505,S21,'2_일일매출_입력'!$B$6:$B$505,"&gt;="&amp;$B$4,'2_일일매출_입력'!$B$6:$B$505,"&lt;="&amp;$C$4)</f>
        <v>30000</v>
      </c>
      <c r="Z21" s="25">
        <f>SUM(V21:Y21)</f>
        <v>1606050</v>
      </c>
      <c r="AA21" s="25">
        <f>U21-Z21</f>
        <v>443950</v>
      </c>
    </row>
    <row r="22">
      <c r="B22" s="10">
        <v>3</v>
      </c>
      <c r="C22" s="23" t="str">
        <f>INDEX($S$20:$S$26,MATCH(LARGE($R$20:$R$26,B22),$R$20:$R$26,0))</f>
        <v>카톡</v>
      </c>
      <c r="D22" s="25">
        <f>INDEX($T$20:$T$26,MATCH(LARGE($R$20:$R$26,B22),$R$20:$R$26,0))</f>
        <v>47</v>
      </c>
      <c r="E22" s="25">
        <f>INDEX($U$20:$U$26,MATCH(LARGE($R$20:$R$26,B22),$R$20:$R$26,0))</f>
        <v>2040000</v>
      </c>
      <c r="F22" s="14">
        <f>IFERROR(E22/$E$27,0)</f>
        <v>0.16748768472906403</v>
      </c>
      <c r="G22" s="25">
        <f>INDEX($V$20:$V$26,MATCH(LARGE($R$20:$R$26,B22),$R$20:$R$26,0))</f>
        <v>1040000</v>
      </c>
      <c r="H22" s="25">
        <f>INDEX($W$20:$W$26,MATCH(LARGE($R$20:$R$26,B22),$R$20:$R$26,0))</f>
        <v>67320</v>
      </c>
      <c r="I22" s="25">
        <f>INDEX($X$20:$X$26,MATCH(LARGE($R$20:$R$26,B22),$R$20:$R$26,0))</f>
        <v>211500</v>
      </c>
      <c r="J22" s="25">
        <f>INDEX($Y$20:$Y$26,MATCH(LARGE($R$20:$R$26,B22),$R$20:$R$26,0))</f>
        <v>0</v>
      </c>
      <c r="K22" s="12">
        <f>SUM(G22:J22)</f>
        <v>1318820</v>
      </c>
      <c r="L22" s="13">
        <f>E22-K22</f>
        <v>721180</v>
      </c>
      <c r="M22" s="14">
        <f>IFERROR(L22/E22,0)</f>
        <v>0.35351960784313724</v>
      </c>
      <c r="N22" s="12">
        <f>IF($G$4="매출액 비중 배분",ROUND($I$4*F22,0),IF($G$4="주문건수 비중 배분",ROUND($I$4*IFERROR(D22/$D$27,0),0),0))</f>
        <v>142365</v>
      </c>
      <c r="O22" s="12">
        <f>L22-N22</f>
        <v>578815</v>
      </c>
      <c r="P22" s="14">
        <f>IFERROR(O22/E22,0)</f>
        <v>0.2837328431372549</v>
      </c>
      <c r="R22" s="25">
        <f>IF($D$4="매출액 높은순",U22,IF($D$4="순이익 높은순",AA22,-ROW()))+(100-ROW())*0.00001</f>
        <v>721180.00078</v>
      </c>
      <c r="S22" s="23" t="str">
        <f>'6_사용설명서_및_기준관리'!B8</f>
        <v>카톡</v>
      </c>
      <c r="T22" s="25">
        <f>SUMIFS('2_일일매출_입력'!$E$6:$E$505,'2_일일매출_입력'!$D$6:$D$505,S22,'2_일일매출_입력'!$B$6:$B$505,"&gt;="&amp;$B$4,'2_일일매출_입력'!$B$6:$B$505,"&lt;="&amp;$C$4)</f>
        <v>47</v>
      </c>
      <c r="U22" s="25">
        <f>SUMIFS('2_일일매출_입력'!$F$6:$F$505,'2_일일매출_입력'!$D$6:$D$505,S22,'2_일일매출_입력'!$B$6:$B$505,"&gt;="&amp;$B$4,'2_일일매출_입력'!$B$6:$B$505,"&lt;="&amp;$C$4)</f>
        <v>2040000</v>
      </c>
      <c r="V22" s="25">
        <f>SUMIFS('2_일일매출_입력'!$G$6:$G$505,'2_일일매출_입력'!$D$6:$D$505,S22,'2_일일매출_입력'!$B$6:$B$505,"&gt;="&amp;$B$4,'2_일일매출_입력'!$B$6:$B$505,"&lt;="&amp;$C$4)</f>
        <v>1040000</v>
      </c>
      <c r="W22" s="25">
        <f>SUMIFS('2_일일매출_입력'!$L$6:$L$505,'2_일일매출_입력'!$D$6:$D$505,S22,'2_일일매출_입력'!$B$6:$B$505,"&gt;="&amp;$B$4,'2_일일매출_입력'!$B$6:$B$505,"&lt;="&amp;$C$4)</f>
        <v>67320</v>
      </c>
      <c r="X22" s="25">
        <f>SUMIFS('2_일일매출_입력'!$N$6:$N$505,'2_일일매출_입력'!$D$6:$D$505,S22,'2_일일매출_입력'!$B$6:$B$505,"&gt;="&amp;$B$4,'2_일일매출_입력'!$B$6:$B$505,"&lt;="&amp;$C$4)</f>
        <v>211500</v>
      </c>
      <c r="Y22" s="25">
        <f>SUMIFS('2_일일매출_입력'!$H$6:$H$505,'2_일일매출_입력'!$D$6:$D$505,S22,'2_일일매출_입력'!$B$6:$B$505,"&gt;="&amp;$B$4,'2_일일매출_입력'!$B$6:$B$505,"&lt;="&amp;$C$4)</f>
        <v>0</v>
      </c>
      <c r="Z22" s="25">
        <f>SUM(V22:Y22)</f>
        <v>1318820</v>
      </c>
      <c r="AA22" s="25">
        <f>U22-Z22</f>
        <v>721180</v>
      </c>
    </row>
    <row r="23">
      <c r="B23" s="10">
        <v>4</v>
      </c>
      <c r="C23" s="23" t="str">
        <f>INDEX($S$20:$S$26,MATCH(LARGE($R$20:$R$26,B23),$R$20:$R$26,0))</f>
        <v>스마트스토어</v>
      </c>
      <c r="D23" s="25">
        <f>INDEX($T$20:$T$26,MATCH(LARGE($R$20:$R$26,B23),$R$20:$R$26,0))</f>
        <v>65</v>
      </c>
      <c r="E23" s="25">
        <f>INDEX($U$20:$U$26,MATCH(LARGE($R$20:$R$26,B23),$R$20:$R$26,0))</f>
        <v>2050000</v>
      </c>
      <c r="F23" s="14">
        <f>IFERROR(E23/$E$27,0)</f>
        <v>0.1683087027914614</v>
      </c>
      <c r="G23" s="25">
        <f>INDEX($V$20:$V$26,MATCH(LARGE($R$20:$R$26,B23),$R$20:$R$26,0))</f>
        <v>1160000</v>
      </c>
      <c r="H23" s="25">
        <f>INDEX($W$20:$W$26,MATCH(LARGE($R$20:$R$26,B23),$R$20:$R$26,0))</f>
        <v>116500</v>
      </c>
      <c r="I23" s="25">
        <f>INDEX($X$20:$X$26,MATCH(LARGE($R$20:$R$26,B23),$R$20:$R$26,0))</f>
        <v>299550</v>
      </c>
      <c r="J23" s="25">
        <f>INDEX($Y$20:$Y$26,MATCH(LARGE($R$20:$R$26,B23),$R$20:$R$26,0))</f>
        <v>30000</v>
      </c>
      <c r="K23" s="12">
        <f>SUM(G23:J23)</f>
        <v>1606050</v>
      </c>
      <c r="L23" s="13">
        <f>E23-K23</f>
        <v>443950</v>
      </c>
      <c r="M23" s="14">
        <f>IFERROR(L23/E23,0)</f>
        <v>0.2165609756097561</v>
      </c>
      <c r="N23" s="12">
        <f>IF($G$4="매출액 비중 배분",ROUND($I$4*F23,0),IF($G$4="주문건수 비중 배분",ROUND($I$4*IFERROR(D23/$D$27,0),0),0))</f>
        <v>143062</v>
      </c>
      <c r="O23" s="12">
        <f>L23-N23</f>
        <v>300888</v>
      </c>
      <c r="P23" s="14">
        <f>IFERROR(O23/E23,0)</f>
        <v>0.14677463414634145</v>
      </c>
      <c r="R23" s="25">
        <f>IF($D$4="매출액 높은순",U23,IF($D$4="순이익 높은순",AA23,-ROW()))+(100-ROW())*0.00001</f>
        <v>877000.00077</v>
      </c>
      <c r="S23" s="23" t="str">
        <f>'6_사용설명서_및_기준관리'!B9</f>
        <v>고흥몰</v>
      </c>
      <c r="T23" s="25">
        <f>SUMIFS('2_일일매출_입력'!$E$6:$E$505,'2_일일매출_입력'!$D$6:$D$505,S23,'2_일일매출_입력'!$B$6:$B$505,"&gt;="&amp;$B$4,'2_일일매출_입력'!$B$6:$B$505,"&lt;="&amp;$C$4)</f>
        <v>53</v>
      </c>
      <c r="U23" s="25">
        <f>SUMIFS('2_일일매출_입력'!$F$6:$F$505,'2_일일매출_입력'!$D$6:$D$505,S23,'2_일일매출_입력'!$B$6:$B$505,"&gt;="&amp;$B$4,'2_일일매출_입력'!$B$6:$B$505,"&lt;="&amp;$C$4)</f>
        <v>2475000</v>
      </c>
      <c r="V23" s="25">
        <f>SUMIFS('2_일일매출_입력'!$G$6:$G$505,'2_일일매출_입력'!$D$6:$D$505,S23,'2_일일매출_입력'!$B$6:$B$505,"&gt;="&amp;$B$4,'2_일일매출_입력'!$B$6:$B$505,"&lt;="&amp;$C$4)</f>
        <v>1280000</v>
      </c>
      <c r="W23" s="25">
        <f>SUMIFS('2_일일매출_입력'!$L$6:$L$505,'2_일일매출_입력'!$D$6:$D$505,S23,'2_일일매출_입력'!$B$6:$B$505,"&gt;="&amp;$B$4,'2_일일매출_입력'!$B$6:$B$505,"&lt;="&amp;$C$4)</f>
        <v>99000</v>
      </c>
      <c r="X23" s="25">
        <f>SUMIFS('2_일일매출_입력'!$N$6:$N$505,'2_일일매출_입력'!$D$6:$D$505,S23,'2_일일매출_입력'!$B$6:$B$505,"&gt;="&amp;$B$4,'2_일일매출_입력'!$B$6:$B$505,"&lt;="&amp;$C$4)</f>
        <v>212000</v>
      </c>
      <c r="Y23" s="25">
        <f>SUMIFS('2_일일매출_입력'!$H$6:$H$505,'2_일일매출_입력'!$D$6:$D$505,S23,'2_일일매출_입력'!$B$6:$B$505,"&gt;="&amp;$B$4,'2_일일매출_입력'!$B$6:$B$505,"&lt;="&amp;$C$4)</f>
        <v>7000</v>
      </c>
      <c r="Z23" s="25">
        <f>SUM(V23:Y23)</f>
        <v>1598000</v>
      </c>
      <c r="AA23" s="25">
        <f>U23-Z23</f>
        <v>877000</v>
      </c>
    </row>
    <row r="24">
      <c r="B24" s="10">
        <v>5</v>
      </c>
      <c r="C24" s="23" t="str">
        <f>INDEX($S$20:$S$26,MATCH(LARGE($R$20:$R$26,B24),$R$20:$R$26,0))</f>
        <v>남도장터</v>
      </c>
      <c r="D24" s="25">
        <f>INDEX($T$20:$T$26,MATCH(LARGE($R$20:$R$26,B24),$R$20:$R$26,0))</f>
        <v>28</v>
      </c>
      <c r="E24" s="25">
        <f>INDEX($U$20:$U$26,MATCH(LARGE($R$20:$R$26,B24),$R$20:$R$26,0))</f>
        <v>1260000</v>
      </c>
      <c r="F24" s="14">
        <f>IFERROR(E24/$E$27,0)</f>
        <v>0.10344827586206896</v>
      </c>
      <c r="G24" s="25">
        <f>INDEX($V$20:$V$26,MATCH(LARGE($R$20:$R$26,B24),$R$20:$R$26,0))</f>
        <v>680000</v>
      </c>
      <c r="H24" s="25">
        <f>INDEX($W$20:$W$26,MATCH(LARGE($R$20:$R$26,B24),$R$20:$R$26,0))</f>
        <v>63000</v>
      </c>
      <c r="I24" s="25">
        <f>INDEX($X$20:$X$26,MATCH(LARGE($R$20:$R$26,B24),$R$20:$R$26,0))</f>
        <v>117600</v>
      </c>
      <c r="J24" s="25">
        <f>INDEX($Y$20:$Y$26,MATCH(LARGE($R$20:$R$26,B24),$R$20:$R$26,0))</f>
        <v>0</v>
      </c>
      <c r="K24" s="12">
        <f>SUM(G24:J24)</f>
        <v>860600</v>
      </c>
      <c r="L24" s="13">
        <f>E24-K24</f>
        <v>399400</v>
      </c>
      <c r="M24" s="14">
        <f>IFERROR(L24/E24,0)</f>
        <v>0.316984126984127</v>
      </c>
      <c r="N24" s="12">
        <f>IF($G$4="매출액 비중 배분",ROUND($I$4*F24,0),IF($G$4="주문건수 비중 배분",ROUND($I$4*IFERROR(D24/$D$27,0),0),0))</f>
        <v>87931</v>
      </c>
      <c r="O24" s="12">
        <f>L24-N24</f>
        <v>311469</v>
      </c>
      <c r="P24" s="14">
        <f>IFERROR(O24/E24,0)</f>
        <v>0.24719761904761905</v>
      </c>
      <c r="R24" s="25">
        <f>IF($D$4="매출액 높은순",U24,IF($D$4="순이익 높은순",AA24,-ROW()))+(100-ROW())*0.00001</f>
        <v>399400.00076</v>
      </c>
      <c r="S24" s="23" t="str">
        <f>'6_사용설명서_및_기준관리'!B10</f>
        <v>남도장터</v>
      </c>
      <c r="T24" s="25">
        <f>SUMIFS('2_일일매출_입력'!$E$6:$E$505,'2_일일매출_입력'!$D$6:$D$505,S24,'2_일일매출_입력'!$B$6:$B$505,"&gt;="&amp;$B$4,'2_일일매출_입력'!$B$6:$B$505,"&lt;="&amp;$C$4)</f>
        <v>28</v>
      </c>
      <c r="U24" s="25">
        <f>SUMIFS('2_일일매출_입력'!$F$6:$F$505,'2_일일매출_입력'!$D$6:$D$505,S24,'2_일일매출_입력'!$B$6:$B$505,"&gt;="&amp;$B$4,'2_일일매출_입력'!$B$6:$B$505,"&lt;="&amp;$C$4)</f>
        <v>1260000</v>
      </c>
      <c r="V24" s="25">
        <f>SUMIFS('2_일일매출_입력'!$G$6:$G$505,'2_일일매출_입력'!$D$6:$D$505,S24,'2_일일매출_입력'!$B$6:$B$505,"&gt;="&amp;$B$4,'2_일일매출_입력'!$B$6:$B$505,"&lt;="&amp;$C$4)</f>
        <v>680000</v>
      </c>
      <c r="W24" s="25">
        <f>SUMIFS('2_일일매출_입력'!$L$6:$L$505,'2_일일매출_입력'!$D$6:$D$505,S24,'2_일일매출_입력'!$B$6:$B$505,"&gt;="&amp;$B$4,'2_일일매출_입력'!$B$6:$B$505,"&lt;="&amp;$C$4)</f>
        <v>63000</v>
      </c>
      <c r="X24" s="25">
        <f>SUMIFS('2_일일매출_입력'!$N$6:$N$505,'2_일일매출_입력'!$D$6:$D$505,S24,'2_일일매출_입력'!$B$6:$B$505,"&gt;="&amp;$B$4,'2_일일매출_입력'!$B$6:$B$505,"&lt;="&amp;$C$4)</f>
        <v>117600</v>
      </c>
      <c r="Y24" s="25">
        <f>SUMIFS('2_일일매출_입력'!$H$6:$H$505,'2_일일매출_입력'!$D$6:$D$505,S24,'2_일일매출_입력'!$B$6:$B$505,"&gt;="&amp;$B$4,'2_일일매출_입력'!$B$6:$B$505,"&lt;="&amp;$C$4)</f>
        <v>0</v>
      </c>
      <c r="Z24" s="25">
        <f>SUM(V24:Y24)</f>
        <v>860600</v>
      </c>
      <c r="AA24" s="25">
        <f>U24-Z24</f>
        <v>399400</v>
      </c>
    </row>
    <row r="25">
      <c r="B25" s="10">
        <v>6</v>
      </c>
      <c r="C25" s="23" t="str">
        <f>INDEX($S$20:$S$26,MATCH(LARGE($R$20:$R$26,B25),$R$20:$R$26,0))</f>
        <v>로컬푸드</v>
      </c>
      <c r="D25" s="25">
        <f>INDEX($T$20:$T$26,MATCH(LARGE($R$20:$R$26,B25),$R$20:$R$26,0))</f>
        <v>60</v>
      </c>
      <c r="E25" s="25">
        <f>INDEX($U$20:$U$26,MATCH(LARGE($R$20:$R$26,B25),$R$20:$R$26,0))</f>
        <v>1080000</v>
      </c>
      <c r="F25" s="14">
        <f>IFERROR(E25/$E$27,0)</f>
        <v>0.08866995073891626</v>
      </c>
      <c r="G25" s="25">
        <f>INDEX($V$20:$V$26,MATCH(LARGE($R$20:$R$26,B25),$R$20:$R$26,0))</f>
        <v>590000</v>
      </c>
      <c r="H25" s="25">
        <f>INDEX($W$20:$W$26,MATCH(LARGE($R$20:$R$26,B25),$R$20:$R$26,0))</f>
        <v>108000</v>
      </c>
      <c r="I25" s="25">
        <f>INDEX($X$20:$X$26,MATCH(LARGE($R$20:$R$26,B25),$R$20:$R$26,0))</f>
        <v>42000</v>
      </c>
      <c r="J25" s="25">
        <f>INDEX($Y$20:$Y$26,MATCH(LARGE($R$20:$R$26,B25),$R$20:$R$26,0))</f>
        <v>0</v>
      </c>
      <c r="K25" s="12">
        <f>SUM(G25:J25)</f>
        <v>740000</v>
      </c>
      <c r="L25" s="13">
        <f>E25-K25</f>
        <v>340000</v>
      </c>
      <c r="M25" s="14">
        <f>IFERROR(L25/E25,0)</f>
        <v>0.3148148148148148</v>
      </c>
      <c r="N25" s="12">
        <f>IF($G$4="매출액 비중 배분",ROUND($I$4*F25,0),IF($G$4="주문건수 비중 배분",ROUND($I$4*IFERROR(D25/$D$27,0),0),0))</f>
        <v>75369</v>
      </c>
      <c r="O25" s="12">
        <f>L25-N25</f>
        <v>264631</v>
      </c>
      <c r="P25" s="14">
        <f>IFERROR(O25/E25,0)</f>
        <v>0.2450287037037037</v>
      </c>
      <c r="R25" s="25">
        <f>IF($D$4="매출액 높은순",U25,IF($D$4="순이익 높은순",AA25,-ROW()))+(100-ROW())*0.00001</f>
        <v>340000.00075</v>
      </c>
      <c r="S25" s="23" t="str">
        <f>'6_사용설명서_및_기준관리'!B11</f>
        <v>로컬푸드</v>
      </c>
      <c r="T25" s="25">
        <f>SUMIFS('2_일일매출_입력'!$E$6:$E$505,'2_일일매출_입력'!$D$6:$D$505,S25,'2_일일매출_입력'!$B$6:$B$505,"&gt;="&amp;$B$4,'2_일일매출_입력'!$B$6:$B$505,"&lt;="&amp;$C$4)</f>
        <v>60</v>
      </c>
      <c r="U25" s="25">
        <f>SUMIFS('2_일일매출_입력'!$F$6:$F$505,'2_일일매출_입력'!$D$6:$D$505,S25,'2_일일매출_입력'!$B$6:$B$505,"&gt;="&amp;$B$4,'2_일일매출_입력'!$B$6:$B$505,"&lt;="&amp;$C$4)</f>
        <v>1080000</v>
      </c>
      <c r="V25" s="25">
        <f>SUMIFS('2_일일매출_입력'!$G$6:$G$505,'2_일일매출_입력'!$D$6:$D$505,S25,'2_일일매출_입력'!$B$6:$B$505,"&gt;="&amp;$B$4,'2_일일매출_입력'!$B$6:$B$505,"&lt;="&amp;$C$4)</f>
        <v>590000</v>
      </c>
      <c r="W25" s="25">
        <f>SUMIFS('2_일일매출_입력'!$L$6:$L$505,'2_일일매출_입력'!$D$6:$D$505,S25,'2_일일매출_입력'!$B$6:$B$505,"&gt;="&amp;$B$4,'2_일일매출_입력'!$B$6:$B$505,"&lt;="&amp;$C$4)</f>
        <v>108000</v>
      </c>
      <c r="X25" s="25">
        <f>SUMIFS('2_일일매출_입력'!$N$6:$N$505,'2_일일매출_입력'!$D$6:$D$505,S25,'2_일일매출_입력'!$B$6:$B$505,"&gt;="&amp;$B$4,'2_일일매출_입력'!$B$6:$B$505,"&lt;="&amp;$C$4)</f>
        <v>42000</v>
      </c>
      <c r="Y25" s="25">
        <f>SUMIFS('2_일일매출_입력'!$H$6:$H$505,'2_일일매출_입력'!$D$6:$D$505,S25,'2_일일매출_입력'!$B$6:$B$505,"&gt;="&amp;$B$4,'2_일일매출_입력'!$B$6:$B$505,"&lt;="&amp;$C$4)</f>
        <v>0</v>
      </c>
      <c r="Z25" s="25">
        <f>SUM(V25:Y25)</f>
        <v>740000</v>
      </c>
      <c r="AA25" s="25">
        <f>U25-Z25</f>
        <v>340000</v>
      </c>
    </row>
    <row r="26">
      <c r="B26" s="10">
        <v>7</v>
      </c>
      <c r="C26" s="23" t="str">
        <f>INDEX($S$20:$S$26,MATCH(LARGE($R$20:$R$26,B26),$R$20:$R$26,0))</f>
        <v>기타</v>
      </c>
      <c r="D26" s="25">
        <f>INDEX($T$20:$T$26,MATCH(LARGE($R$20:$R$26,B26),$R$20:$R$26,0))</f>
        <v>15</v>
      </c>
      <c r="E26" s="25">
        <f>INDEX($U$20:$U$26,MATCH(LARGE($R$20:$R$26,B26),$R$20:$R$26,0))</f>
        <v>675000</v>
      </c>
      <c r="F26" s="14">
        <f>IFERROR(E26/$E$27,0)</f>
        <v>0.05541871921182266</v>
      </c>
      <c r="G26" s="25">
        <f>INDEX($V$20:$V$26,MATCH(LARGE($R$20:$R$26,B26),$R$20:$R$26,0))</f>
        <v>320000</v>
      </c>
      <c r="H26" s="25">
        <f>INDEX($W$20:$W$26,MATCH(LARGE($R$20:$R$26,B26),$R$20:$R$26,0))</f>
        <v>20250</v>
      </c>
      <c r="I26" s="25">
        <f>INDEX($X$20:$X$26,MATCH(LARGE($R$20:$R$26,B26),$R$20:$R$26,0))</f>
        <v>64500</v>
      </c>
      <c r="J26" s="25">
        <f>INDEX($Y$20:$Y$26,MATCH(LARGE($R$20:$R$26,B26),$R$20:$R$26,0))</f>
        <v>0</v>
      </c>
      <c r="K26" s="12">
        <f>SUM(G26:J26)</f>
        <v>404750</v>
      </c>
      <c r="L26" s="13">
        <f>E26-K26</f>
        <v>270250</v>
      </c>
      <c r="M26" s="14">
        <f>IFERROR(L26/E26,0)</f>
        <v>0.4003703703703704</v>
      </c>
      <c r="N26" s="12">
        <f>IF($G$4="매출액 비중 배분",ROUND($I$4*F26,0),IF($G$4="주문건수 비중 배분",ROUND($I$4*IFERROR(D26/$D$27,0),0),0))</f>
        <v>47106</v>
      </c>
      <c r="O26" s="12">
        <f>L26-N26</f>
        <v>223144</v>
      </c>
      <c r="P26" s="14">
        <f>IFERROR(O26/E26,0)</f>
        <v>0.3305837037037037</v>
      </c>
      <c r="R26" s="25">
        <f>IF($D$4="매출액 높은순",U26,IF($D$4="순이익 높은순",AA26,-ROW()))+(100-ROW())*0.00001</f>
        <v>270250.00074</v>
      </c>
      <c r="S26" s="23" t="str">
        <f>'6_사용설명서_및_기준관리'!B12</f>
        <v>기타</v>
      </c>
      <c r="T26" s="25">
        <f>SUMIFS('2_일일매출_입력'!$E$6:$E$505,'2_일일매출_입력'!$D$6:$D$505,S26,'2_일일매출_입력'!$B$6:$B$505,"&gt;="&amp;$B$4,'2_일일매출_입력'!$B$6:$B$505,"&lt;="&amp;$C$4)</f>
        <v>15</v>
      </c>
      <c r="U26" s="25">
        <f>SUMIFS('2_일일매출_입력'!$F$6:$F$505,'2_일일매출_입력'!$D$6:$D$505,S26,'2_일일매출_입력'!$B$6:$B$505,"&gt;="&amp;$B$4,'2_일일매출_입력'!$B$6:$B$505,"&lt;="&amp;$C$4)</f>
        <v>675000</v>
      </c>
      <c r="V26" s="25">
        <f>SUMIFS('2_일일매출_입력'!$G$6:$G$505,'2_일일매출_입력'!$D$6:$D$505,S26,'2_일일매출_입력'!$B$6:$B$505,"&gt;="&amp;$B$4,'2_일일매출_입력'!$B$6:$B$505,"&lt;="&amp;$C$4)</f>
        <v>320000</v>
      </c>
      <c r="W26" s="25">
        <f>SUMIFS('2_일일매출_입력'!$L$6:$L$505,'2_일일매출_입력'!$D$6:$D$505,S26,'2_일일매출_입력'!$B$6:$B$505,"&gt;="&amp;$B$4,'2_일일매출_입력'!$B$6:$B$505,"&lt;="&amp;$C$4)</f>
        <v>20250</v>
      </c>
      <c r="X26" s="25">
        <f>SUMIFS('2_일일매출_입력'!$N$6:$N$505,'2_일일매출_입력'!$D$6:$D$505,S26,'2_일일매출_입력'!$B$6:$B$505,"&gt;="&amp;$B$4,'2_일일매출_입력'!$B$6:$B$505,"&lt;="&amp;$C$4)</f>
        <v>64500</v>
      </c>
      <c r="Y26" s="25">
        <f>SUMIFS('2_일일매출_입력'!$H$6:$H$505,'2_일일매출_입력'!$D$6:$D$505,S26,'2_일일매출_입력'!$B$6:$B$505,"&gt;="&amp;$B$4,'2_일일매출_입력'!$B$6:$B$505,"&lt;="&amp;$C$4)</f>
        <v>0</v>
      </c>
      <c r="Z26" s="25">
        <f>SUM(V26:Y26)</f>
        <v>404750</v>
      </c>
      <c r="AA26" s="25">
        <f>U26-Z26</f>
        <v>270250</v>
      </c>
    </row>
    <row r="27">
      <c r="B27" s="16" t="inlineStr">
        <is>
          <t>합계</t>
        </is>
      </c>
      <c r="C27" s="16" t="inlineStr">
        <is>
          <t>전체 7개 판매채널</t>
        </is>
      </c>
      <c r="D27" s="17">
        <f>SUM(D20:D26)</f>
        <v>318</v>
      </c>
      <c r="E27" s="17">
        <f>SUM(E20:E26)</f>
        <v>12180000</v>
      </c>
      <c r="F27" s="18">
        <f>IFERROR(SUM(F20:F26),0)</f>
        <v>1</v>
      </c>
      <c r="G27" s="17">
        <f>SUM(G20:G26)</f>
        <v>6530000</v>
      </c>
      <c r="H27" s="17">
        <f>SUM(H20:H26)</f>
        <v>474070</v>
      </c>
      <c r="I27" s="17">
        <f>SUM(I20:I26)</f>
        <v>1172150</v>
      </c>
      <c r="J27" s="17">
        <f>SUM(J20:J26)</f>
        <v>37000</v>
      </c>
      <c r="K27" s="17">
        <f>SUM(K20:K26)</f>
        <v>8213220</v>
      </c>
      <c r="L27" s="17">
        <f>E27-K27</f>
        <v>3966780</v>
      </c>
      <c r="M27" s="18">
        <f>IFERROR(L27/E27,0)</f>
        <v>0.325679802955665</v>
      </c>
      <c r="N27" s="17">
        <f>SUM(N20:N26)</f>
        <v>850000</v>
      </c>
      <c r="O27" s="17">
        <f>L27-N27</f>
        <v>3116780</v>
      </c>
      <c r="P27" s="18">
        <f>IFERROR(O27/E27,0)</f>
        <v>0.25589326765188836</v>
      </c>
    </row>
    <row r="29">
      <c r="B29" s="2" t="inlineStr">
        <is>
          <t>📈 거래처별 순이익 비교 그래프 &amp; 판매채널별 매출·순이익 비교 그래프</t>
        </is>
      </c>
    </row>
  </sheetData>
  <mergeCells count="10">
    <mergeCell ref="B2:P2"/>
    <mergeCell ref="D3:F3"/>
    <mergeCell ref="G3:H3"/>
    <mergeCell ref="J3:P3"/>
    <mergeCell ref="D4:F4"/>
    <mergeCell ref="G4:H4"/>
    <mergeCell ref="J4:P4"/>
    <mergeCell ref="B6:P6"/>
    <mergeCell ref="R6:AC6"/>
    <mergeCell ref="B18:P18"/>
  </mergeCells>
  <conditionalFormatting sqref="L8:P16 L20:P27">
    <cfRule type="cellIs" dxfId="0" priority="1" operator="lessThan">
      <formula>0</formula>
    </cfRule>
  </conditionalFormatting>
  <dataValidations count="1">
    <dataValidation type="list" allowBlank="1" showInputMessage="1" promptTitle="정렬 기준 선택" prompt="순이익 높은순 또는 매출액 높은순을 선택하면 표와 그래프가 자동 재정렬됩니다." showErrorMessage="1" sqref="D4:F4">
      <formula1>"순이익 높은순,매출액 높은순,입력(기본)순"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6" topLeftCell="A7" activePane="bottomLeft" state="frozen"/>
    </sheetView>
  </sheetViews>
  <sheetFormatPr defaultRowHeight="20"/>
  <cols>
    <col min="1" max="1" width="3" customWidth="1"/>
    <col min="2" max="2" width="9" customWidth="1"/>
    <col min="3" max="4" width="14" customWidth="1"/>
    <col min="5" max="7" width="18" customWidth="1"/>
    <col min="8" max="8" width="4" customWidth="1"/>
    <col min="9" max="9" width="14" customWidth="1"/>
    <col min="10" max="10" width="20" customWidth="1"/>
    <col min="11" max="11" width="16" customWidth="1"/>
    <col min="12" max="13" width="14" customWidth="1"/>
    <col min="14" max="14" width="32" customWidth="1"/>
  </cols>
  <sheetData>
    <row r="2" ht="28" customHeight="1">
      <c r="B2" s="1" t="inlineStr">
        <is>
          <t>🎯 연·월별 목표매출 설정 및 월별 공통비용(고정비) 관리 시트</t>
        </is>
      </c>
    </row>
    <row r="3" ht="38" customHeight="1">
      <c r="B3" s="22" t="inlineStr">
        <is>
          <t>💡 [목표매출 일할 계산 기준] 대시보드에서 한 달 전체를 조회하면 해당 월 목표매출이 100% 반영되며, 임의의 조회 기간(시작일~종료일)을 선택하면 각 월의 목표매출을 그 달의 총 일수로 나눈 [일할 목표매출 × 조회기간 포함 일수]로 정확히 비례 합산됩니다.
💡 [공통비용 배분 기준] 광고비·임대료 등 주문건수와 무관한 공통비용은 우측 표에 입력하며, 대시보드 전체 총비용에서는 단 한 번만 차감되어 중복 차감되지 않습니다.</t>
        </is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ht="25" customHeight="1">
      <c r="B4" s="3" t="inlineStr">
        <is>
          <t>목표 기준연도</t>
        </is>
      </c>
      <c r="C4" s="5">
        <v>2026</v>
      </c>
      <c r="E4" s="2" t="inlineStr">
        <is>
          <t>📌 좌측: 월별 목표매출 입력 (연노랑)</t>
        </is>
      </c>
      <c r="I4" s="3" t="inlineStr">
        <is>
          <t>공통비용 배분 기준 선택</t>
        </is>
      </c>
      <c r="J4" s="3"/>
      <c r="K4" s="5" t="inlineStr">
        <is>
          <t>매출액 비중 배분</t>
        </is>
      </c>
      <c r="L4" s="5"/>
    </row>
    <row r="6" ht="28" customHeight="1">
      <c r="B6" s="4" t="inlineStr">
        <is>
          <t>월</t>
        </is>
      </c>
      <c r="C6" s="4" t="inlineStr">
        <is>
          <t>월 시작일</t>
        </is>
      </c>
      <c r="D6" s="4" t="inlineStr">
        <is>
          <t>월 종료일</t>
        </is>
      </c>
      <c r="E6" s="3" t="inlineStr">
        <is>
          <t>월별 목표매출 (원)
(직접입력)</t>
        </is>
      </c>
      <c r="F6" s="4" t="inlineStr">
        <is>
          <t>일할 목표매출 (원/일)
(자동계산)</t>
        </is>
      </c>
      <c r="G6" s="4" t="inlineStr">
        <is>
          <t>조회기간 반영 목표매출
(대시보드 자동연동)</t>
        </is>
      </c>
      <c r="I6" s="3" t="inlineStr">
        <is>
          <t>지출/귀속일자
(직접입력)</t>
        </is>
      </c>
      <c r="J6" s="3" t="inlineStr">
        <is>
          <t>공통비용 항목
(광고비/임대료 등)</t>
        </is>
      </c>
      <c r="K6" s="3" t="inlineStr">
        <is>
          <t>금액 (원)
(직접입력)</t>
        </is>
      </c>
      <c r="L6" s="4" t="inlineStr">
        <is>
          <t>귀속 연월
(자동표시)</t>
        </is>
      </c>
      <c r="M6" s="4" t="inlineStr">
        <is>
          <t>현재 조회기간
포함 여부</t>
        </is>
      </c>
      <c r="N6" s="3" t="inlineStr">
        <is>
          <t>비고 (상세 내역 메모)</t>
        </is>
      </c>
    </row>
    <row r="7">
      <c r="B7" s="10">
        <v>1</v>
      </c>
      <c r="C7" s="11">
        <f>DATE($C$4,B7,1)</f>
        <v>46023</v>
      </c>
      <c r="D7" s="11">
        <f>EOMONTH(C7,0)</f>
        <v>46053</v>
      </c>
      <c r="E7" s="8">
        <v>5000000</v>
      </c>
      <c r="F7" s="12">
        <f>ROUND(E7/DAY(D7),0)</f>
        <v>161290</v>
      </c>
      <c r="G7" s="13">
        <f>IF(OR('1_매출손익_대시보드'!$G$4&lt;C7,'1_매출손익_대시보드'!$F$4&gt;D7),0,IF(AND('1_매출손익_대시보드'!$F$4&lt;=C7,'1_매출손익_대시보드'!$G$4&gt;=D7),E7,ROUND(E7*(MIN('1_매출손익_대시보드'!$G$4,D7)-MAX('1_매출손익_대시보드'!$F$4,C7)+1)/DAY(D7),0)))</f>
        <v>0</v>
      </c>
      <c r="I7" s="7">
        <v>46047</v>
      </c>
      <c r="J7" s="5" t="inlineStr">
        <is>
          <t>월 광고선전비</t>
        </is>
      </c>
      <c r="K7" s="8">
        <v>250000</v>
      </c>
      <c r="L7" s="10" t="str">
        <f>IF(I7="","",TEXT(I7,"yyyy-mm"))</f>
        <v>2026-01</v>
      </c>
      <c r="M7" s="10" t="str">
        <f>IF(I7="","",IF(AND(I7&gt;='1_매출손익_대시보드'!$F$4,I7&lt;='1_매출손익_대시보드'!$G$4),"포함","제외"))</f>
        <v>제외</v>
      </c>
      <c r="N7" s="6" t="inlineStr">
        <is>
          <t>[예시] 1월 검색광고 및 카페 배너비</t>
        </is>
      </c>
    </row>
    <row r="8">
      <c r="B8" s="10">
        <v>2</v>
      </c>
      <c r="C8" s="11">
        <f>DATE($C$4,B8,1)</f>
        <v>46054</v>
      </c>
      <c r="D8" s="11">
        <f>EOMONTH(C8,0)</f>
        <v>46081</v>
      </c>
      <c r="E8" s="8">
        <v>4500000</v>
      </c>
      <c r="F8" s="12">
        <f>ROUND(E8/DAY(D8),0)</f>
        <v>160714</v>
      </c>
      <c r="G8" s="13">
        <f>IF(OR('1_매출손익_대시보드'!$G$4&lt;C8,'1_매출손익_대시보드'!$F$4&gt;D8),0,IF(AND('1_매출손익_대시보드'!$F$4&lt;=C8,'1_매출손익_대시보드'!$G$4&gt;=D8),E8,ROUND(E8*(MIN('1_매출손익_대시보드'!$G$4,D8)-MAX('1_매출손익_대시보드'!$F$4,C8)+1)/DAY(D8),0)))</f>
        <v>0</v>
      </c>
      <c r="I8" s="7">
        <v>46047</v>
      </c>
      <c r="J8" s="5" t="inlineStr">
        <is>
          <t>창고/작업장 임대료</t>
        </is>
      </c>
      <c r="K8" s="8">
        <v>400000</v>
      </c>
      <c r="L8" s="10" t="str">
        <f>IF(I8="","",TEXT(I8,"yyyy-mm"))</f>
        <v>2026-01</v>
      </c>
      <c r="M8" s="10" t="str">
        <f>IF(I8="","",IF(AND(I8&gt;='1_매출손익_대시보드'!$F$4,I8&lt;='1_매출손익_대시보드'!$G$4),"포함","제외"))</f>
        <v>제외</v>
      </c>
      <c r="N8" s="6" t="inlineStr">
        <is>
          <t>[예시] 1월 저온창고 월세</t>
        </is>
      </c>
    </row>
    <row r="9">
      <c r="B9" s="10">
        <v>3</v>
      </c>
      <c r="C9" s="11">
        <f>DATE($C$4,B9,1)</f>
        <v>46082</v>
      </c>
      <c r="D9" s="11">
        <f>EOMONTH(C9,0)</f>
        <v>46112</v>
      </c>
      <c r="E9" s="8">
        <v>5000000</v>
      </c>
      <c r="F9" s="12">
        <f>ROUND(E9/DAY(D9),0)</f>
        <v>161290</v>
      </c>
      <c r="G9" s="13">
        <f>IF(OR('1_매출손익_대시보드'!$G$4&lt;C9,'1_매출손익_대시보드'!$F$4&gt;D9),0,IF(AND('1_매출손익_대시보드'!$F$4&lt;=C9,'1_매출손익_대시보드'!$G$4&gt;=D9),E9,ROUND(E9*(MIN('1_매출손익_대시보드'!$G$4,D9)-MAX('1_매출손익_대시보드'!$F$4,C9)+1)/DAY(D9),0)))</f>
        <v>0</v>
      </c>
      <c r="I9" s="7">
        <v>46078</v>
      </c>
      <c r="J9" s="5" t="inlineStr">
        <is>
          <t>월 광고선전비</t>
        </is>
      </c>
      <c r="K9" s="8">
        <v>300000</v>
      </c>
      <c r="L9" s="10" t="str">
        <f>IF(I9="","",TEXT(I9,"yyyy-mm"))</f>
        <v>2026-02</v>
      </c>
      <c r="M9" s="10" t="str">
        <f>IF(I9="","",IF(AND(I9&gt;='1_매출손익_대시보드'!$F$4,I9&lt;='1_매출손익_대시보드'!$G$4),"포함","제외"))</f>
        <v>제외</v>
      </c>
      <c r="N9" s="6" t="inlineStr">
        <is>
          <t>[예시] 2월 설 명절 키워드 광고비</t>
        </is>
      </c>
    </row>
    <row r="10">
      <c r="B10" s="10">
        <v>4</v>
      </c>
      <c r="C10" s="11">
        <f>DATE($C$4,B10,1)</f>
        <v>46113</v>
      </c>
      <c r="D10" s="11">
        <f>EOMONTH(C10,0)</f>
        <v>46142</v>
      </c>
      <c r="E10" s="8">
        <v>11000000</v>
      </c>
      <c r="F10" s="12">
        <f>ROUND(E10/DAY(D10),0)</f>
        <v>366667</v>
      </c>
      <c r="G10" s="13">
        <f>IF(OR('1_매출손익_대시보드'!$G$4&lt;C10,'1_매출손익_대시보드'!$F$4&gt;D10),0,IF(AND('1_매출손익_대시보드'!$F$4&lt;=C10,'1_매출손익_대시보드'!$G$4&gt;=D10),E10,ROUND(E10*(MIN('1_매출손익_대시보드'!$G$4,D10)-MAX('1_매출손익_대시보드'!$F$4,C10)+1)/DAY(D10),0)))</f>
        <v>11000000</v>
      </c>
      <c r="I10" s="7">
        <v>46078</v>
      </c>
      <c r="J10" s="5" t="inlineStr">
        <is>
          <t>창고/작업장 임대료</t>
        </is>
      </c>
      <c r="K10" s="8">
        <v>400000</v>
      </c>
      <c r="L10" s="10" t="str">
        <f>IF(I10="","",TEXT(I10,"yyyy-mm"))</f>
        <v>2026-02</v>
      </c>
      <c r="M10" s="10" t="str">
        <f>IF(I10="","",IF(AND(I10&gt;='1_매출손익_대시보드'!$F$4,I10&lt;='1_매출손익_대시보드'!$G$4),"포함","제외"))</f>
        <v>제외</v>
      </c>
      <c r="N10" s="6" t="inlineStr">
        <is>
          <t>[예시] 2월 저온창고 월세</t>
        </is>
      </c>
    </row>
    <row r="11">
      <c r="B11" s="10">
        <v>5</v>
      </c>
      <c r="C11" s="11">
        <f>DATE($C$4,B11,1)</f>
        <v>46143</v>
      </c>
      <c r="D11" s="11">
        <f>EOMONTH(C11,0)</f>
        <v>46173</v>
      </c>
      <c r="E11" s="8">
        <v>12000000</v>
      </c>
      <c r="F11" s="12">
        <f>ROUND(E11/DAY(D11),0)</f>
        <v>387097</v>
      </c>
      <c r="G11" s="13">
        <f>IF(OR('1_매출손익_대시보드'!$G$4&lt;C11,'1_매출손익_대시보드'!$F$4&gt;D11),0,IF(AND('1_매출손익_대시보드'!$F$4&lt;=C11,'1_매출손익_대시보드'!$G$4&gt;=D11),E11,ROUND(E11*(MIN('1_매출손익_대시보드'!$G$4,D11)-MAX('1_매출손익_대시보드'!$F$4,C11)+1)/DAY(D11),0)))</f>
        <v>0</v>
      </c>
      <c r="I11" s="7">
        <v>46106</v>
      </c>
      <c r="J11" s="5" t="inlineStr">
        <is>
          <t>월 광고선전비</t>
        </is>
      </c>
      <c r="K11" s="8">
        <v>250000</v>
      </c>
      <c r="L11" s="10" t="str">
        <f>IF(I11="","",TEXT(I11,"yyyy-mm"))</f>
        <v>2026-03</v>
      </c>
      <c r="M11" s="10" t="str">
        <f>IF(I11="","",IF(AND(I11&gt;='1_매출손익_대시보드'!$F$4,I11&lt;='1_매출손익_대시보드'!$G$4),"포함","제외"))</f>
        <v>제외</v>
      </c>
      <c r="N11" s="6" t="inlineStr">
        <is>
          <t>[예시] 3월 쇼핑검색 광고비</t>
        </is>
      </c>
    </row>
    <row r="12">
      <c r="B12" s="10">
        <v>6</v>
      </c>
      <c r="C12" s="11">
        <f>DATE($C$4,B12,1)</f>
        <v>46174</v>
      </c>
      <c r="D12" s="11">
        <f>EOMONTH(C12,0)</f>
        <v>46203</v>
      </c>
      <c r="E12" s="8">
        <v>10000000</v>
      </c>
      <c r="F12" s="12">
        <f>ROUND(E12/DAY(D12),0)</f>
        <v>333333</v>
      </c>
      <c r="G12" s="13">
        <f>IF(OR('1_매출손익_대시보드'!$G$4&lt;C12,'1_매출손익_대시보드'!$F$4&gt;D12),0,IF(AND('1_매출손익_대시보드'!$F$4&lt;=C12,'1_매출손익_대시보드'!$G$4&gt;=D12),E12,ROUND(E12*(MIN('1_매출손익_대시보드'!$G$4,D12)-MAX('1_매출손익_대시보드'!$F$4,C12)+1)/DAY(D12),0)))</f>
        <v>0</v>
      </c>
      <c r="I12" s="7">
        <v>46106</v>
      </c>
      <c r="J12" s="5" t="inlineStr">
        <is>
          <t>창고/작업장 임대료</t>
        </is>
      </c>
      <c r="K12" s="8">
        <v>400000</v>
      </c>
      <c r="L12" s="10" t="str">
        <f>IF(I12="","",TEXT(I12,"yyyy-mm"))</f>
        <v>2026-03</v>
      </c>
      <c r="M12" s="10" t="str">
        <f>IF(I12="","",IF(AND(I12&gt;='1_매출손익_대시보드'!$F$4,I12&lt;='1_매출손익_대시보드'!$G$4),"포함","제외"))</f>
        <v>제외</v>
      </c>
      <c r="N12" s="6" t="inlineStr">
        <is>
          <t>[예시] 3월 저온창고 월세</t>
        </is>
      </c>
    </row>
    <row r="13">
      <c r="B13" s="10">
        <v>7</v>
      </c>
      <c r="C13" s="11">
        <f>DATE($C$4,B13,1)</f>
        <v>46204</v>
      </c>
      <c r="D13" s="11">
        <f>EOMONTH(C13,0)</f>
        <v>46234</v>
      </c>
      <c r="E13" s="8">
        <v>9000000</v>
      </c>
      <c r="F13" s="12">
        <f>ROUND(E13/DAY(D13),0)</f>
        <v>290323</v>
      </c>
      <c r="G13" s="13">
        <f>IF(OR('1_매출손익_대시보드'!$G$4&lt;C13,'1_매출손익_대시보드'!$F$4&gt;D13),0,IF(AND('1_매출손익_대시보드'!$F$4&lt;=C13,'1_매출손익_대시보드'!$G$4&gt;=D13),E13,ROUND(E13*(MIN('1_매출손익_대시보드'!$G$4,D13)-MAX('1_매출손익_대시보드'!$F$4,C13)+1)/DAY(D13),0)))</f>
        <v>0</v>
      </c>
      <c r="I13" s="7">
        <v>46122</v>
      </c>
      <c r="J13" s="5" t="inlineStr">
        <is>
          <t>월 광고선전비</t>
        </is>
      </c>
      <c r="K13" s="8">
        <v>350000</v>
      </c>
      <c r="L13" s="10" t="str">
        <f>IF(I13="","",TEXT(I13,"yyyy-mm"))</f>
        <v>2026-04</v>
      </c>
      <c r="M13" s="10" t="str">
        <f>IF(I13="","",IF(AND(I13&gt;='1_매출손익_대시보드'!$F$4,I13&lt;='1_매출손익_대시보드'!$G$4),"포함","제외"))</f>
        <v>포함</v>
      </c>
      <c r="N13" s="6" t="inlineStr">
        <is>
          <t>[예시] 4월 봄 프로모션 광고비</t>
        </is>
      </c>
    </row>
    <row r="14">
      <c r="B14" s="10">
        <v>8</v>
      </c>
      <c r="C14" s="11">
        <f>DATE($C$4,B14,1)</f>
        <v>46235</v>
      </c>
      <c r="D14" s="11">
        <f>EOMONTH(C14,0)</f>
        <v>46265</v>
      </c>
      <c r="E14" s="8">
        <v>10000000</v>
      </c>
      <c r="F14" s="12">
        <f>ROUND(E14/DAY(D14),0)</f>
        <v>322581</v>
      </c>
      <c r="G14" s="13">
        <f>IF(OR('1_매출손익_대시보드'!$G$4&lt;C14,'1_매출손익_대시보드'!$F$4&gt;D14),0,IF(AND('1_매출손익_대시보드'!$F$4&lt;=C14,'1_매출손익_대시보드'!$G$4&gt;=D14),E14,ROUND(E14*(MIN('1_매출손익_대시보드'!$G$4,D14)-MAX('1_매출손익_대시보드'!$F$4,C14)+1)/DAY(D14),0)))</f>
        <v>0</v>
      </c>
      <c r="I14" s="7">
        <v>46137</v>
      </c>
      <c r="J14" s="5" t="inlineStr">
        <is>
          <t>창고/작업장 임대료</t>
        </is>
      </c>
      <c r="K14" s="8">
        <v>400000</v>
      </c>
      <c r="L14" s="10" t="str">
        <f>IF(I14="","",TEXT(I14,"yyyy-mm"))</f>
        <v>2026-04</v>
      </c>
      <c r="M14" s="10" t="str">
        <f>IF(I14="","",IF(AND(I14&gt;='1_매출손익_대시보드'!$F$4,I14&lt;='1_매출손익_대시보드'!$G$4),"포함","제외"))</f>
        <v>포함</v>
      </c>
      <c r="N14" s="6" t="inlineStr">
        <is>
          <t>[예시] 4월 저온창고 월세</t>
        </is>
      </c>
    </row>
    <row r="15">
      <c r="B15" s="10">
        <v>9</v>
      </c>
      <c r="C15" s="11">
        <f>DATE($C$4,B15,1)</f>
        <v>46266</v>
      </c>
      <c r="D15" s="11">
        <f>EOMONTH(C15,0)</f>
        <v>46295</v>
      </c>
      <c r="E15" s="8">
        <v>15000000</v>
      </c>
      <c r="F15" s="12">
        <f>ROUND(E15/DAY(D15),0)</f>
        <v>500000</v>
      </c>
      <c r="G15" s="13">
        <f>IF(OR('1_매출손익_대시보드'!$G$4&lt;C15,'1_매출손익_대시보드'!$F$4&gt;D15),0,IF(AND('1_매출손익_대시보드'!$F$4&lt;=C15,'1_매출손익_대시보드'!$G$4&gt;=D15),E15,ROUND(E15*(MIN('1_매출손익_대시보드'!$G$4,D15)-MAX('1_매출손익_대시보드'!$F$4,C15)+1)/DAY(D15),0)))</f>
        <v>0</v>
      </c>
      <c r="I15" s="7">
        <v>46140</v>
      </c>
      <c r="J15" s="5" t="inlineStr">
        <is>
          <t>프로그램/통신/공과금</t>
        </is>
      </c>
      <c r="K15" s="8">
        <v>100000</v>
      </c>
      <c r="L15" s="10" t="str">
        <f>IF(I15="","",TEXT(I15,"yyyy-mm"))</f>
        <v>2026-04</v>
      </c>
      <c r="M15" s="10" t="str">
        <f>IF(I15="","",IF(AND(I15&gt;='1_매출손익_대시보드'!$F$4,I15&lt;='1_매출손익_대시보드'!$G$4),"포함","제외"))</f>
        <v>포함</v>
      </c>
      <c r="N15" s="6" t="inlineStr">
        <is>
          <t>[예시] 4월 송장출력기 및 인터넷/전기료</t>
        </is>
      </c>
    </row>
    <row r="16">
      <c r="B16" s="10">
        <v>10</v>
      </c>
      <c r="C16" s="11">
        <f>DATE($C$4,B16,1)</f>
        <v>46296</v>
      </c>
      <c r="D16" s="11">
        <f>EOMONTH(C16,0)</f>
        <v>46326</v>
      </c>
      <c r="E16" s="8">
        <v>11000000</v>
      </c>
      <c r="F16" s="12">
        <f>ROUND(E16/DAY(D16),0)</f>
        <v>354839</v>
      </c>
      <c r="G16" s="13">
        <f>IF(OR('1_매출손익_대시보드'!$G$4&lt;C16,'1_매출손익_대시보드'!$F$4&gt;D16),0,IF(AND('1_매출손익_대시보드'!$F$4&lt;=C16,'1_매출손익_대시보드'!$G$4&gt;=D16),E16,ROUND(E16*(MIN('1_매출손익_대시보드'!$G$4,D16)-MAX('1_매출손익_대시보드'!$F$4,C16)+1)/DAY(D16),0)))</f>
        <v>0</v>
      </c>
      <c r="I16" s="7"/>
      <c r="J16" s="5"/>
      <c r="K16" s="8"/>
      <c r="L16" s="10" t="str">
        <f>IF(I16="","",TEXT(I16,"yyyy-mm"))</f>
      </c>
      <c r="M16" s="10" t="str">
        <f>IF(I16="","",IF(AND(I16&gt;='1_매출손익_대시보드'!$F$4,I16&lt;='1_매출손익_대시보드'!$G$4),"포함","제외"))</f>
      </c>
      <c r="N16" s="6"/>
    </row>
    <row r="17">
      <c r="B17" s="10">
        <v>11</v>
      </c>
      <c r="C17" s="11">
        <f>DATE($C$4,B17,1)</f>
        <v>46327</v>
      </c>
      <c r="D17" s="11">
        <f>EOMONTH(C17,0)</f>
        <v>46356</v>
      </c>
      <c r="E17" s="8">
        <v>12000000</v>
      </c>
      <c r="F17" s="12">
        <f>ROUND(E17/DAY(D17),0)</f>
        <v>400000</v>
      </c>
      <c r="G17" s="13">
        <f>IF(OR('1_매출손익_대시보드'!$G$4&lt;C17,'1_매출손익_대시보드'!$F$4&gt;D17),0,IF(AND('1_매출손익_대시보드'!$F$4&lt;=C17,'1_매출손익_대시보드'!$G$4&gt;=D17),E17,ROUND(E17*(MIN('1_매출손익_대시보드'!$G$4,D17)-MAX('1_매출손익_대시보드'!$F$4,C17)+1)/DAY(D17),0)))</f>
        <v>0</v>
      </c>
      <c r="I17" s="7"/>
      <c r="J17" s="5"/>
      <c r="K17" s="8"/>
      <c r="L17" s="10" t="str">
        <f>IF(I17="","",TEXT(I17,"yyyy-mm"))</f>
      </c>
      <c r="M17" s="10" t="str">
        <f>IF(I17="","",IF(AND(I17&gt;='1_매출손익_대시보드'!$F$4,I17&lt;='1_매출손익_대시보드'!$G$4),"포함","제외"))</f>
      </c>
      <c r="N17" s="6"/>
    </row>
    <row r="18">
      <c r="B18" s="10">
        <v>12</v>
      </c>
      <c r="C18" s="11">
        <f>DATE($C$4,B18,1)</f>
        <v>46357</v>
      </c>
      <c r="D18" s="11">
        <f>EOMONTH(C18,0)</f>
        <v>46387</v>
      </c>
      <c r="E18" s="8">
        <v>14000000</v>
      </c>
      <c r="F18" s="12">
        <f>ROUND(E18/DAY(D18),0)</f>
        <v>451613</v>
      </c>
      <c r="G18" s="13">
        <f>IF(OR('1_매출손익_대시보드'!$G$4&lt;C18,'1_매출손익_대시보드'!$F$4&gt;D18),0,IF(AND('1_매출손익_대시보드'!$F$4&lt;=C18,'1_매출손익_대시보드'!$G$4&gt;=D18),E18,ROUND(E18*(MIN('1_매출손익_대시보드'!$G$4,D18)-MAX('1_매출손익_대시보드'!$F$4,C18)+1)/DAY(D18),0)))</f>
        <v>0</v>
      </c>
      <c r="I18" s="7"/>
      <c r="J18" s="5"/>
      <c r="K18" s="8"/>
      <c r="L18" s="10" t="str">
        <f>IF(I18="","",TEXT(I18,"yyyy-mm"))</f>
      </c>
      <c r="M18" s="10" t="str">
        <f>IF(I18="","",IF(AND(I18&gt;='1_매출손익_대시보드'!$F$4,I18&lt;='1_매출손익_대시보드'!$G$4),"포함","제외"))</f>
      </c>
      <c r="N18" s="6"/>
    </row>
    <row r="19">
      <c r="B19" s="16" t="inlineStr">
        <is>
          <t>합계</t>
        </is>
      </c>
      <c r="C19" s="16" t="inlineStr">
        <is>
          <t>연간 총 목표</t>
        </is>
      </c>
      <c r="D19" s="16" t="inlineStr">
        <is>
          <t>-</t>
        </is>
      </c>
      <c r="E19" s="17">
        <f>SUM(E7:E18)</f>
        <v>118500000</v>
      </c>
      <c r="F19" s="17">
        <f>ROUND(E19/365,0)</f>
        <v>324658</v>
      </c>
      <c r="G19" s="17">
        <f>SUM(G7:G18)</f>
        <v>11000000</v>
      </c>
      <c r="I19" s="7"/>
      <c r="J19" s="5"/>
      <c r="K19" s="8"/>
      <c r="L19" s="10" t="str">
        <f>IF(I19="","",TEXT(I19,"yyyy-mm"))</f>
      </c>
      <c r="M19" s="10" t="str">
        <f>IF(I19="","",IF(AND(I19&gt;='1_매출손익_대시보드'!$F$4,I19&lt;='1_매출손익_대시보드'!$G$4),"포함","제외"))</f>
      </c>
      <c r="N19" s="6"/>
    </row>
    <row r="20">
      <c r="I20" s="7"/>
      <c r="J20" s="5"/>
      <c r="K20" s="8"/>
      <c r="L20" s="10" t="str">
        <f>IF(I20="","",TEXT(I20,"yyyy-mm"))</f>
      </c>
      <c r="M20" s="10" t="str">
        <f>IF(I20="","",IF(AND(I20&gt;='1_매출손익_대시보드'!$F$4,I20&lt;='1_매출손익_대시보드'!$G$4),"포함","제외"))</f>
      </c>
      <c r="N20" s="6"/>
    </row>
    <row r="21">
      <c r="I21" s="7"/>
      <c r="J21" s="5"/>
      <c r="K21" s="8"/>
      <c r="L21" s="10" t="str">
        <f>IF(I21="","",TEXT(I21,"yyyy-mm"))</f>
      </c>
      <c r="M21" s="10" t="str">
        <f>IF(I21="","",IF(AND(I21&gt;='1_매출손익_대시보드'!$F$4,I21&lt;='1_매출손익_대시보드'!$G$4),"포함","제외"))</f>
      </c>
      <c r="N21" s="6"/>
    </row>
    <row r="22">
      <c r="I22" s="7"/>
      <c r="J22" s="5"/>
      <c r="K22" s="8"/>
      <c r="L22" s="10" t="str">
        <f>IF(I22="","",TEXT(I22,"yyyy-mm"))</f>
      </c>
      <c r="M22" s="10" t="str">
        <f>IF(I22="","",IF(AND(I22&gt;='1_매출손익_대시보드'!$F$4,I22&lt;='1_매출손익_대시보드'!$G$4),"포함","제외"))</f>
      </c>
      <c r="N22" s="6"/>
    </row>
    <row r="23">
      <c r="I23" s="7"/>
      <c r="J23" s="5"/>
      <c r="K23" s="8"/>
      <c r="L23" s="10" t="str">
        <f>IF(I23="","",TEXT(I23,"yyyy-mm"))</f>
      </c>
      <c r="M23" s="10" t="str">
        <f>IF(I23="","",IF(AND(I23&gt;='1_매출손익_대시보드'!$F$4,I23&lt;='1_매출손익_대시보드'!$G$4),"포함","제외"))</f>
      </c>
      <c r="N23" s="6"/>
    </row>
    <row r="24">
      <c r="I24" s="7"/>
      <c r="J24" s="5"/>
      <c r="K24" s="8"/>
      <c r="L24" s="10" t="str">
        <f>IF(I24="","",TEXT(I24,"yyyy-mm"))</f>
      </c>
      <c r="M24" s="10" t="str">
        <f>IF(I24="","",IF(AND(I24&gt;='1_매출손익_대시보드'!$F$4,I24&lt;='1_매출손익_대시보드'!$G$4),"포함","제외"))</f>
      </c>
      <c r="N24" s="6"/>
    </row>
    <row r="25">
      <c r="I25" s="7"/>
      <c r="J25" s="5"/>
      <c r="K25" s="8"/>
      <c r="L25" s="10" t="str">
        <f>IF(I25="","",TEXT(I25,"yyyy-mm"))</f>
      </c>
      <c r="M25" s="10" t="str">
        <f>IF(I25="","",IF(AND(I25&gt;='1_매출손익_대시보드'!$F$4,I25&lt;='1_매출손익_대시보드'!$G$4),"포함","제외"))</f>
      </c>
      <c r="N25" s="6"/>
    </row>
    <row r="26">
      <c r="I26" s="16" t="inlineStr">
        <is>
          <t>합계</t>
        </is>
      </c>
      <c r="J26" s="16" t="inlineStr">
        <is>
          <t>전체 누적 공통비용</t>
        </is>
      </c>
      <c r="K26" s="17">
        <f>SUM(K7:K25)</f>
        <v>2850000</v>
      </c>
      <c r="L26" s="16" t="inlineStr">
        <is>
          <t>조회기간 공통비용 →</t>
        </is>
      </c>
      <c r="M26" s="17">
        <f>SUMIFS(K7:K25,I7:I25,"&gt;="&amp;'1_매출손익_대시보드'!$F$4,I7:I25,"&lt;="&amp;'1_매출손익_대시보드'!$G$4)</f>
        <v>850000</v>
      </c>
      <c r="N26" s="16" t="inlineStr">
        <is>
          <t>← 대시보드 및 손익분석 시트에 자동 반영됨</t>
        </is>
      </c>
    </row>
  </sheetData>
  <mergeCells count="5">
    <mergeCell ref="B2:N2"/>
    <mergeCell ref="B3:N3"/>
    <mergeCell ref="E4:G4"/>
    <mergeCell ref="I4:J4"/>
    <mergeCell ref="K4:L4"/>
  </mergeCells>
  <dataValidations count="1">
    <dataValidation type="list" allowBlank="1" showInputMessage="1" promptTitle="공통비용 배분 기준" prompt="거래처별·채널별 손익 분석 시 공통비용을 어떤 기준으로 배분할지 선택하세요." showErrorMessage="1" sqref="K4:L4">
      <formula1>"매출액 비중 배분,주문건수 비중 배분,배분 안 함(전체에서만 차감)"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1">
      <pane ySplit="5" topLeftCell="A6" activePane="bottomLeft" state="frozen"/>
    </sheetView>
  </sheetViews>
  <sheetFormatPr defaultRowHeight="20"/>
  <cols>
    <col min="1" max="1" width="3" customWidth="1"/>
    <col min="2" max="2" width="20" customWidth="1"/>
    <col min="3" max="3" width="4" customWidth="1"/>
    <col min="4" max="4" width="22" customWidth="1"/>
    <col min="5" max="5" width="4" customWidth="1"/>
    <col min="6" max="6" width="24" customWidth="1"/>
    <col min="7" max="7" width="75" customWidth="1"/>
  </cols>
  <sheetData>
    <row r="2" ht="28" customHeight="1">
      <c r="B2" s="1" t="inlineStr">
        <is>
          <t>📖 프로그램 사용 설명서 및 판매채널·거래처 기준 목록 관리</t>
        </is>
      </c>
    </row>
    <row r="3" ht="32" customHeight="1">
      <c r="B3" s="22" t="inlineStr">
        <is>
          <t>💡 좌측의 [판매채널 목록]과 [거래처 목록]의 빈 노란색 칸에 새로운 채널이나 거래처 이름을 입력하시면, [일일 매출 입력] 시트의 드롭다운 선택 목록에 자동으로 추가됩니다.</t>
        </is>
      </c>
      <c r="C3" s="22"/>
      <c r="D3" s="22"/>
      <c r="E3" s="22"/>
      <c r="F3" s="22"/>
      <c r="G3" s="22"/>
    </row>
    <row r="5" ht="26" customHeight="1">
      <c r="B5" s="3" t="inlineStr">
        <is>
          <t>🛒 판매채널 등록 목록
(기본 7종 + 추가 가능)</t>
        </is>
      </c>
      <c r="D5" s="3" t="inlineStr">
        <is>
          <t>🏢 거래처 등록 목록
(드롭다운 연동 + 추가 가능)</t>
        </is>
      </c>
      <c r="F5" s="4" t="inlineStr">
        <is>
          <t>📌 구분 / 핵심 주제</t>
        </is>
      </c>
      <c r="G5" s="4" t="inlineStr">
        <is>
          <t>📖 상세 사용 방법 및 계산 기준 안내 (비개발자 맞춤 가이드)</t>
        </is>
      </c>
    </row>
    <row r="6" ht="38" customHeight="1">
      <c r="B6" s="5" t="inlineStr">
        <is>
          <t>농라</t>
        </is>
      </c>
      <c r="D6" s="5" t="inlineStr">
        <is>
          <t>청정영농조합</t>
        </is>
      </c>
      <c r="F6" s="16" t="inlineStr">
        <is>
          <t>1. 셀 색상 구분 규칙</t>
        </is>
      </c>
      <c r="G6" s="24" t="inlineStr">
        <is>
          <t>🟨 연노랑색 셀: 사용자가 직접 입력하거나 드롭다운으로 선택하는 셀입니다.
🟦 연파랑/연회색 셀: 수식이 들어있어 자동 계산되는 셀입니다. 수식이 지워지지 않도록 직접 수정하지 마세요.
🟥 연분홍 배경 + 빨간 글씨: 적자(순이익 &lt; 0)가 발생했거나, 비용 설정 누락/기간 중복 오류가 있을 때 자동으로 켜집니다.</t>
        </is>
      </c>
    </row>
    <row r="7" ht="18" customHeight="1">
      <c r="B7" s="5" t="inlineStr">
        <is>
          <t>스마트스토어</t>
        </is>
      </c>
      <c r="D7" s="5" t="inlineStr">
        <is>
          <t>고흥유자농원</t>
        </is>
      </c>
      <c r="F7" s="16"/>
      <c r="G7" s="24"/>
    </row>
    <row r="8" ht="38" customHeight="1">
      <c r="B8" s="5" t="inlineStr">
        <is>
          <t>카톡</t>
        </is>
      </c>
      <c r="D8" s="5" t="inlineStr">
        <is>
          <t>남도바다수산</t>
        </is>
      </c>
      <c r="F8" s="16" t="inlineStr">
        <is>
          <t>2. 일일 매출 입력 방법</t>
        </is>
      </c>
      <c r="G8" s="24" t="inlineStr">
        <is>
          <t>주문 1건씩 일일이 입력할 필요 없이, 하루 단위로 [매출일자 × 거래처 × 판매채널]별 주문건수와 일일 매출액 합계만 입력하면 됩니다.
일일 매출액은 쿠폰·할인 등을 모두 반영한 실제 결제 금액을 입력하며, 별도의 할인액을 다시 차감하지 않습니다.</t>
        </is>
      </c>
    </row>
    <row r="9" ht="18" customHeight="1">
      <c r="B9" s="5" t="inlineStr">
        <is>
          <t>고흥몰</t>
        </is>
      </c>
      <c r="D9" s="5" t="inlineStr">
        <is>
          <t>해피푸드유통</t>
        </is>
      </c>
      <c r="F9" s="16"/>
      <c r="G9" s="24"/>
    </row>
    <row r="10" ht="38" customHeight="1">
      <c r="B10" s="5" t="inlineStr">
        <is>
          <t>남도장터</t>
        </is>
      </c>
      <c r="D10" s="5" t="inlineStr">
        <is>
          <t>초록들녘농산</t>
        </is>
      </c>
      <c r="F10" s="16" t="inlineStr">
        <is>
          <t>3. 별도 입력이 필요한 항목</t>
        </is>
      </c>
      <c r="G10" s="24" t="inlineStr">
        <is>
          <t>① [일일 상품 총원가]: 해당 날짜에 판매된 상품들의 원가 합계를 직접 입력합니다.
② [추가 비용]: 기본 택배비·포장비 외에 당일 특별히 발생한 비용(예: 반품/교환 택배비, 아이스팩/드라이아이스 추가분 등)만 입력합니다.
※ 주의: [3_채널별_비용설정] 시트에 등록한 건당 배송비와 포장비는 주문건수에 곱해 자동 계산되므로 [추가 비용] 칸에 중복 입력하지 마세요!</t>
        </is>
      </c>
    </row>
    <row r="11" ht="18" customHeight="1">
      <c r="B11" s="5" t="inlineStr">
        <is>
          <t>로컬푸드</t>
        </is>
      </c>
      <c r="D11" s="5" t="inlineStr">
        <is>
          <t>바른먹거리장터</t>
        </is>
      </c>
      <c r="F11" s="16"/>
      <c r="G11" s="24"/>
    </row>
    <row r="12" ht="38" customHeight="1">
      <c r="B12" s="5" t="inlineStr">
        <is>
          <t>기타</t>
        </is>
      </c>
      <c r="D12" s="5" t="inlineStr">
        <is>
          <t>우리동네직판장</t>
        </is>
      </c>
      <c r="F12" s="16" t="inlineStr">
        <is>
          <t>4. 거래처 및 판매채널 구분 관리</t>
        </is>
      </c>
      <c r="G12" s="24" t="inlineStr">
        <is>
          <t>• 같은 거래처가 여러 판매채널(예: 스마트스토어, 고흥몰, 농라)을 이용하더라도 채널별로 행을 나누어 입력해 주세요. [4_거래처_채널별_손익분석] 시트에서 거래처별 전체 손익이 자동 합산됩니다.
• 같은 날짜·같은 채널에 거래처가 여러 곳이라면 거래처별로 행을 나누어 입력하되, 주문건수와 매출액이 중복 입력되지 않도록 주의해 주세요.</t>
        </is>
      </c>
    </row>
    <row r="13" ht="18" customHeight="1">
      <c r="B13" s="5"/>
      <c r="D13" s="5" t="inlineStr">
        <is>
          <t>자체직영(소비자)</t>
        </is>
      </c>
      <c r="F13" s="16"/>
      <c r="G13" s="24"/>
    </row>
    <row r="14" ht="38" customHeight="1">
      <c r="B14" s="5"/>
      <c r="D14" s="5"/>
      <c r="F14" s="16" t="inlineStr">
        <is>
          <t>5. 판매채널 비용 이력 관리</t>
        </is>
      </c>
      <c r="G14" s="24" t="inlineStr">
        <is>
          <t>• 택배비나 수수료율이 인상되면 기존 설정 행의 숫자를 덮어쓰지 마세요!
• 기존 설정 행의 [적용 종료일]에 변경 전날(예: 2026-04-15)을 적고, 바로 아래 새 행에 같은 채널명으로 [적용 시작일](예: 2026-04-16)과 새 단가를 등록하세요.
• 이렇게 하면 과거 매출에는 과거 단가가 그대로 유지되고, 변경일 이후 매출에만 새 단가가 정확히 적용됩니다.</t>
        </is>
      </c>
    </row>
    <row r="15" ht="18" customHeight="1">
      <c r="B15" s="5"/>
      <c r="D15" s="5"/>
      <c r="F15" s="16"/>
      <c r="G15" s="24"/>
    </row>
    <row r="16" ht="38" customHeight="1">
      <c r="B16" s="5"/>
      <c r="D16" s="5"/>
      <c r="F16" s="16" t="inlineStr">
        <is>
          <t>6. 오류 및 누락 자동 감지</t>
        </is>
      </c>
      <c r="G16" s="24" t="inlineStr">
        <is>
          <t>• 매출일자에 해당하는 채널 비용 설정이 없으면 임의로 0원 처리하지 않고 [비용 설정 필요]라고 즉시 경고하며, 첫 번째 대시보드 상단에도 누락 건수가 표시됩니다.
• 같은 채널의 적용 기간이 하루라도 겹치면 [⚠️ 기간 중복] 경고가 표시됩니다.</t>
        </is>
      </c>
    </row>
    <row r="17" ht="18" customHeight="1">
      <c r="B17" s="5"/>
      <c r="D17" s="5"/>
      <c r="F17" s="16"/>
      <c r="G17" s="24"/>
    </row>
    <row r="18" ht="38" customHeight="1">
      <c r="B18" s="5"/>
      <c r="D18" s="5"/>
      <c r="F18" s="16" t="inlineStr">
        <is>
          <t>7. 순이익률 및 계산 공식</t>
        </is>
      </c>
      <c r="G18" s="24" t="inlineStr">
        <is>
          <t>• 매출액 기준 수수료 = 일일 매출액 × 해당 날짜의 채널 수수료율
• 주문 1건당 비용 = 해당 날짜의 건당 배송비 + 포장비 + 기타 건당 비용
• 주문건수에 따른 비용 = 주문건수 × 주문 1건당 비용
• 총비용 = 상품 총원가 + 매출액 기준 수수료 + 주문건수에 따른 비용 + 추가 비용
• 순이익 = 일일 매출액 - 총비용  |  순이익률 = 순이익 ÷ 일일 매출액 × 100
※ 월별·거래처별·채널별 순이익률은 일별 이익률의 단순 평균이 아니라 [기간 순이익 합계 ÷ 기간 매출액 합계]로 정확히 계산됩니다.</t>
        </is>
      </c>
    </row>
    <row r="19" ht="18" customHeight="1">
      <c r="B19" s="5"/>
      <c r="D19" s="5"/>
      <c r="F19" s="16"/>
      <c r="G19" s="24"/>
    </row>
    <row r="20" ht="38" customHeight="1">
      <c r="B20" s="5"/>
      <c r="D20" s="5"/>
      <c r="F20" s="16" t="inlineStr">
        <is>
          <t>8. 부가세 및 반품·취소 처리</t>
        </is>
      </c>
      <c r="G20" s="24" t="inlineStr">
        <is>
          <t>• 모든 금액(매출, 원가, 수수료, 배송·포장비, 공통비용)은 부가세(VAT) 포함 실결제/실지출 금액 기준으로 통일하여 입력합니다.
• 발송 전 취소는 당일 주문건수와 매출액에서 제외하고 입력합니다.
• 발송 후 반품/교환이 발생한 경우 매출액에서 환불 금액을 차감하고, 이미 지출된 반품 회수 택배비 등은 [추가 비용] 칸에 입력한 뒤 비고란에 사유를 적어주세요.</t>
        </is>
      </c>
    </row>
    <row r="21" ht="18" customHeight="1">
      <c r="B21" s="5"/>
      <c r="D21" s="5"/>
      <c r="F21" s="16"/>
      <c r="G21" s="24"/>
    </row>
    <row r="22" ht="38" customHeight="1">
      <c r="B22" s="5"/>
      <c r="D22" s="5"/>
      <c r="F22" s="16" t="inlineStr">
        <is>
          <t>9. 예시 데이터 안내</t>
        </is>
      </c>
      <c r="G22" s="24" t="inlineStr">
        <is>
          <t>현재 파일에는 수식과 그래프 작동을 바로 확인하실 수 있도록 비고란에 [예시]가 표시된 샘플 데이터가 들어 있습니다.
실제 업무에 사용하실 때는 [2_일일매출_입력] 시트의 예시 행(B6:I29)을 지우시고 실제 매출 데이터를 입력해 사용하세요.</t>
        </is>
      </c>
    </row>
    <row r="23" ht="18" customHeight="1">
      <c r="B23" s="5"/>
      <c r="D23" s="5"/>
      <c r="F23" s="16"/>
      <c r="G23" s="24"/>
    </row>
    <row r="24">
      <c r="B24" s="5"/>
      <c r="D24" s="5"/>
    </row>
    <row r="25">
      <c r="B25" s="5"/>
      <c r="D25" s="5"/>
    </row>
    <row r="26">
      <c r="D26" s="5"/>
    </row>
    <row r="27">
      <c r="D27" s="5"/>
    </row>
    <row r="28">
      <c r="D28" s="5"/>
    </row>
    <row r="29">
      <c r="D29" s="5"/>
    </row>
    <row r="30">
      <c r="D30" s="5"/>
    </row>
    <row r="31">
      <c r="D31" s="5"/>
    </row>
    <row r="32">
      <c r="D32" s="5"/>
    </row>
    <row r="33">
      <c r="D33" s="5"/>
    </row>
    <row r="34">
      <c r="D34" s="5"/>
    </row>
    <row r="35">
      <c r="D35" s="5"/>
    </row>
  </sheetData>
  <mergeCells count="20">
    <mergeCell ref="B2:G2"/>
    <mergeCell ref="B3:G3"/>
    <mergeCell ref="F6:F7"/>
    <mergeCell ref="G6:G7"/>
    <mergeCell ref="F8:F9"/>
    <mergeCell ref="G8:G9"/>
    <mergeCell ref="F10:F11"/>
    <mergeCell ref="G10:G11"/>
    <mergeCell ref="F12:F13"/>
    <mergeCell ref="G12:G13"/>
    <mergeCell ref="F14:F15"/>
    <mergeCell ref="G14:G15"/>
    <mergeCell ref="F16:F17"/>
    <mergeCell ref="G16:G17"/>
    <mergeCell ref="F18:F19"/>
    <mergeCell ref="G18:G19"/>
    <mergeCell ref="F20:F21"/>
    <mergeCell ref="G20:G21"/>
    <mergeCell ref="F22:F23"/>
    <mergeCell ref="G22:G23"/>
  </mergeCells>
</worksheet>
</file>